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rd Database" sheetId="1" state="visible" r:id="rId1"/>
    <sheet name="Research Needed" sheetId="2" state="visible" r:id="rId2"/>
    <sheet name="Change Log" sheetId="3" state="visible" r:id="rId3"/>
    <sheet name="Field Guide" sheetId="4" state="visible" r:id="rId4"/>
    <sheet name="Sources" sheetId="5" state="visible" r:id="rId5"/>
    <sheet name="Core Rules" sheetId="6" state="visible" r:id="rId6"/>
    <sheet name="Game State Model" sheetId="7" state="visible" r:id="rId7"/>
    <sheet name="Timing &amp; Resolution" sheetId="8" state="visible" r:id="rId8"/>
    <sheet name="Official Errata" sheetId="9" state="visible" r:id="rId9"/>
    <sheet name="Build Readiness" sheetId="10" state="visible" r:id="rId10"/>
    <sheet name="Verification Ledger" sheetId="11" state="visible" r:id="rId11"/>
    <sheet name="Set Integrity" sheetId="12" state="visible" r:id="rId12"/>
    <sheet name="Research Pass 4" sheetId="13" state="visible" r:id="rId13"/>
    <sheet name="Arrow Geometry Status" sheetId="14" state="visible" r:id="rId14"/>
    <sheet name="Arrow Research Pass 9" sheetId="15" state="visible" r:id="rId15"/>
    <sheet name="Arrow Research Pass 10" sheetId="16" state="visible" r:id="rId16"/>
    <sheet name="Complete Scan Geometry Audit" sheetId="17" state="visible" r:id="rId17"/>
    <sheet name="Complete How to Play" sheetId="18" state="visible" r:id="rId18"/>
  </sheets>
  <definedNames/>
  <calcPr calcId="124519" fullCalcOnLoad="1"/>
</workbook>
</file>

<file path=xl/styles.xml><?xml version="1.0" encoding="utf-8"?>
<styleSheet xmlns="http://schemas.openxmlformats.org/spreadsheetml/2006/main">
  <numFmts count="0"/>
  <fonts count="7">
    <font>
      <name val="Carlito"/>
      <sz val="11"/>
    </font>
    <font>
      <name val="Carlito"/>
      <b val="1"/>
      <color rgb="FFFFFFFF"/>
      <sz val="11"/>
    </font>
    <font>
      <name val="Carlito"/>
      <b val="1"/>
      <color rgb="FFFFD700"/>
      <sz val="16"/>
    </font>
    <font>
      <name val="Carlito"/>
      <i val="1"/>
      <color rgb="FFFFFFFF"/>
      <sz val="11"/>
    </font>
    <font>
      <name val="Carlito"/>
      <b val="1"/>
      <color rgb="FF280137"/>
      <sz val="11"/>
    </font>
    <font>
      <name val="Carlito"/>
      <b val="1"/>
      <color rgb="FFFFD700"/>
      <sz val="11"/>
    </font>
    <font>
      <name val="Carlito"/>
      <b val="1"/>
      <sz val="11"/>
    </font>
  </fonts>
  <fills count="15">
    <fill>
      <patternFill/>
    </fill>
    <fill>
      <patternFill patternType="gray125"/>
    </fill>
    <fill>
      <patternFill patternType="solid">
        <fgColor rgb="FF280137"/>
      </patternFill>
    </fill>
    <fill>
      <patternFill patternType="solid">
        <fgColor rgb="FF280137"/>
      </patternFill>
    </fill>
    <fill>
      <patternFill patternType="solid">
        <fgColor rgb="FF280137"/>
      </patternFill>
    </fill>
    <fill>
      <patternFill patternType="solid">
        <fgColor rgb="FF280137"/>
      </patternFill>
    </fill>
    <fill>
      <patternFill patternType="solid">
        <fgColor rgb="FF280137"/>
      </patternFill>
    </fill>
    <fill>
      <patternFill patternType="solid">
        <fgColor rgb="FF280137"/>
      </patternFill>
    </fill>
    <fill>
      <patternFill patternType="solid">
        <fgColor rgb="FF280137"/>
      </patternFill>
    </fill>
    <fill>
      <patternFill patternType="solid">
        <fgColor rgb="FF280137"/>
      </patternFill>
    </fill>
    <fill>
      <patternFill patternType="solid">
        <fgColor rgb="FF280137"/>
      </patternFill>
    </fill>
    <fill>
      <patternFill patternType="solid">
        <fgColor rgb="FF280137"/>
      </patternFill>
    </fill>
    <fill>
      <patternFill patternType="solid">
        <fgColor rgb="FF280137"/>
      </patternFill>
    </fill>
    <fill>
      <patternFill patternType="solid">
        <fgColor rgb="FF74207B"/>
      </patternFill>
    </fill>
    <fill>
      <patternFill patternType="solid">
        <fgColor rgb="FFE8D9ED"/>
      </patternFill>
    </fill>
  </fills>
  <borders count="2">
    <border/>
    <border/>
  </borders>
  <cellStyleXfs count="1">
    <xf numFmtId="0" fontId="0" fillId="0" borderId="1"/>
  </cellStyleXfs>
  <cellXfs count="6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pivotButton="0" quotePrefix="0" xfId="0"/>
    <xf numFmtId="0" fontId="0" fillId="0" borderId="0" pivotButton="0" quotePrefix="0" xfId="0"/>
    <xf numFmtId="0" fontId="0" fillId="0" borderId="0" pivotButton="0" quotePrefix="0" xfId="0"/>
    <xf numFmtId="0" fontId="0" fillId="3" borderId="0" pivotButton="0" quotePrefix="0" xfId="0"/>
    <xf numFmtId="0" fontId="1" fillId="3" borderId="0" pivotButton="0" quotePrefix="0" xfId="0"/>
    <xf numFmtId="0" fontId="1" fillId="3" borderId="0" applyAlignment="1" pivotButton="0" quotePrefix="0" xfId="0">
      <alignment wrapText="1"/>
    </xf>
    <xf numFmtId="0" fontId="0" fillId="0" borderId="0" applyAlignment="1" pivotButton="0" quotePrefix="0" xfId="0">
      <alignment wrapText="1"/>
    </xf>
    <xf numFmtId="0" fontId="0" fillId="4" borderId="0" pivotButton="0" quotePrefix="0" xfId="0"/>
    <xf numFmtId="0" fontId="1" fillId="4" borderId="0" pivotButton="0" quotePrefix="0" xfId="0"/>
    <xf numFmtId="0" fontId="1" fillId="4" borderId="0" applyAlignment="1" pivotButton="0" quotePrefix="0" xfId="0">
      <alignment wrapText="1"/>
    </xf>
    <xf numFmtId="0" fontId="0" fillId="5" borderId="0" pivotButton="0" quotePrefix="0" xfId="0"/>
    <xf numFmtId="0" fontId="1" fillId="5" borderId="0" pivotButton="0" quotePrefix="0" xfId="0"/>
    <xf numFmtId="0" fontId="1" fillId="5" borderId="0" applyAlignment="1" pivotButton="0" quotePrefix="0" xfId="0">
      <alignment wrapText="1"/>
    </xf>
    <xf numFmtId="0" fontId="0" fillId="6" borderId="0" pivotButton="0" quotePrefix="0" xfId="0"/>
    <xf numFmtId="0" fontId="1" fillId="6" borderId="0" pivotButton="0" quotePrefix="0" xfId="0"/>
    <xf numFmtId="0" fontId="1" fillId="6" borderId="0" applyAlignment="1" pivotButton="0" quotePrefix="0" xfId="0">
      <alignment wrapText="1"/>
    </xf>
    <xf numFmtId="0" fontId="0" fillId="7" borderId="0" pivotButton="0" quotePrefix="0" xfId="0"/>
    <xf numFmtId="0" fontId="1" fillId="7" borderId="0" pivotButton="0" quotePrefix="0" xfId="0"/>
    <xf numFmtId="0" fontId="1" fillId="7" borderId="0" applyAlignment="1" pivotButton="0" quotePrefix="0" xfId="0">
      <alignment wrapText="1"/>
    </xf>
    <xf numFmtId="0" fontId="1" fillId="8" borderId="0" applyAlignment="1" pivotButton="0" quotePrefix="0" xfId="0">
      <alignment wrapText="1"/>
    </xf>
    <xf numFmtId="0" fontId="0" fillId="9" borderId="0" pivotButton="0" quotePrefix="0" xfId="0"/>
    <xf numFmtId="0" fontId="1" fillId="9" borderId="0" pivotButton="0" quotePrefix="0" xfId="0"/>
    <xf numFmtId="0" fontId="1" fillId="9" borderId="0" applyAlignment="1" pivotButton="0" quotePrefix="0" xfId="0">
      <alignment wrapText="1"/>
    </xf>
    <xf numFmtId="0" fontId="0" fillId="10" borderId="0" pivotButton="0" quotePrefix="0" xfId="0"/>
    <xf numFmtId="0" fontId="1" fillId="10" borderId="0" pivotButton="0" quotePrefix="0" xfId="0"/>
    <xf numFmtId="0" fontId="1" fillId="10" borderId="0" applyAlignment="1" pivotButton="0" quotePrefix="0" xfId="0">
      <alignment wrapText="1"/>
    </xf>
    <xf numFmtId="0" fontId="0" fillId="11" borderId="0" pivotButton="0" quotePrefix="0" xfId="0"/>
    <xf numFmtId="0" fontId="1" fillId="11" borderId="0" pivotButton="0" quotePrefix="0" xfId="0"/>
    <xf numFmtId="0" fontId="1" fillId="11" borderId="0" applyAlignment="1" pivotButton="0" quotePrefix="0" xfId="0">
      <alignment wrapText="1"/>
    </xf>
    <xf numFmtId="0" fontId="0" fillId="12" borderId="0" pivotButton="0" quotePrefix="0" xfId="0"/>
    <xf numFmtId="0" fontId="2" fillId="12" borderId="0" pivotButton="0" quotePrefix="0" xfId="0"/>
    <xf numFmtId="0" fontId="2" fillId="12" borderId="0" applyAlignment="1" pivotButton="0" quotePrefix="0" xfId="0">
      <alignment horizontal="center"/>
    </xf>
    <xf numFmtId="0" fontId="2" fillId="12" borderId="0" applyAlignment="1" pivotButton="0" quotePrefix="0" xfId="0">
      <alignment horizontal="center" vertical="center"/>
    </xf>
    <xf numFmtId="0" fontId="0" fillId="13" borderId="0" pivotButton="0" quotePrefix="0" xfId="0"/>
    <xf numFmtId="0" fontId="3" fillId="13" borderId="0" pivotButton="0" quotePrefix="0" xfId="0"/>
    <xf numFmtId="0" fontId="3" fillId="13" borderId="0" applyAlignment="1" pivotButton="0" quotePrefix="0" xfId="0">
      <alignment wrapText="1"/>
    </xf>
    <xf numFmtId="0" fontId="1" fillId="12" borderId="0" pivotButton="0" quotePrefix="0" xfId="0"/>
    <xf numFmtId="0" fontId="0" fillId="14" borderId="0" pivotButton="0" quotePrefix="0" xfId="0"/>
    <xf numFmtId="0" fontId="4" fillId="14" borderId="0" pivotButton="0" quotePrefix="0" xfId="0"/>
    <xf numFmtId="0" fontId="4" fillId="14" borderId="0" applyAlignment="1" pivotButton="0" quotePrefix="0" xfId="0">
      <alignment wrapText="1"/>
    </xf>
    <xf numFmtId="0" fontId="4" fillId="14" borderId="0" applyAlignment="1" pivotButton="0" quotePrefix="0" xfId="0">
      <alignment vertical="top" wrapText="1"/>
    </xf>
    <xf numFmtId="0" fontId="0" fillId="0" borderId="0" applyAlignment="1" pivotButton="0" quotePrefix="0" xfId="0">
      <alignment vertical="top" wrapText="1"/>
    </xf>
    <xf numFmtId="0" fontId="5" fillId="12" borderId="0" pivotButton="0" quotePrefix="0" xfId="0"/>
    <xf numFmtId="0" fontId="6" fillId="14" borderId="0" pivotButton="0" quotePrefix="0" xfId="0"/>
    <xf numFmtId="0" fontId="6" fillId="14" borderId="0" applyAlignment="1" pivotButton="0" quotePrefix="0" xfId="0">
      <alignment wrapText="1"/>
    </xf>
    <xf numFmtId="0" fontId="6" fillId="0" borderId="0" pivotButton="0" quotePrefix="0" xfId="0"/>
    <xf numFmtId="0" fontId="2" fillId="12" borderId="1" applyAlignment="1" pivotButton="0" quotePrefix="0" xfId="0">
      <alignment horizontal="center" vertical="center"/>
    </xf>
    <xf numFmtId="0" fontId="3" fillId="13" borderId="1" applyAlignment="1" pivotButton="0" quotePrefix="0" xfId="0">
      <alignment wrapText="1"/>
    </xf>
    <xf numFmtId="0" fontId="5" fillId="12" borderId="1" pivotButton="0" quotePrefix="0" xfId="0"/>
    <xf numFmtId="0" fontId="1" fillId="12" borderId="0"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vertical="top" wrapText="1"/>
    </xf>
  </cellXfs>
  <cellStyles count="1">
    <cellStyle name="Normal" xfId="0"/>
  </cellStyles>
  <dxfs count="2">
    <dxf>
      <fill>
        <patternFill>
          <bgColor rgb="FFFDE2E2"/>
        </patternFill>
      </fill>
    </dxf>
    <dxf>
      <fill>
        <patternFill>
          <bgColor rgb="FFE2F3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ables/table1.xml><?xml version="1.0" encoding="utf-8"?>
<table xmlns="http://schemas.openxmlformats.org/spreadsheetml/2006/main" id="1" name="INWOCards" displayName="INWOCards" ref="A1:M413" headerRowCount="1" totalsRowCount="0" totalsRowShown="0">
  <tableColumns count="13">
    <tableColumn id="1" name="Card Name"/>
    <tableColumn id="2" name="Card Type"/>
    <tableColumn id="3" name="Subtype"/>
    <tableColumn id="4" name="Rarity"/>
    <tableColumn id="5" name="Power / Global"/>
    <tableColumn id="6" name="Resistance"/>
    <tableColumn id="7" name="Alignments"/>
    <tableColumn id="8" name="Attributes"/>
    <tableColumn id="9" name="Mechanical Behavior (paraphrased)"/>
    <tableColumn id="10" name="Engine Implementation Status"/>
    <tableColumn id="11" name="Confidence"/>
    <tableColumn id="12" name="Research Notes"/>
    <tableColumn id="13" name="Primary Source 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K413"/>
  <sheetViews>
    <sheetView tabSelected="0" workbookViewId="0">
      <selection activeCell="A1" sqref="A1"/>
    </sheetView>
  </sheetViews>
  <sheetFormatPr baseColWidth="8" defaultRowHeight="15"/>
  <cols>
    <col width="30" customWidth="1" style="16" min="1" max="1"/>
    <col width="14" customWidth="1" style="16" min="2" max="2"/>
    <col width="16" customWidth="1" style="16" min="3" max="3"/>
    <col width="10" customWidth="1" style="16" min="4" max="4"/>
    <col width="14" customWidth="1" style="16" min="5" max="5"/>
    <col width="12" customWidth="1" style="16" min="6" max="6"/>
    <col width="28" customWidth="1" style="16" min="7" max="7"/>
    <col width="28" customWidth="1" style="16" min="8" max="8"/>
    <col width="52" customWidth="1" style="16" min="9" max="9"/>
    <col width="26" customWidth="1" style="16" min="10" max="10"/>
    <col width="12" customWidth="1" style="16" min="11" max="11"/>
    <col width="42" customWidth="1" style="16" min="12" max="12"/>
    <col width="46" customWidth="1" style="16" min="13" max="13"/>
    <col width="25" customWidth="1" style="16" min="14" max="14"/>
    <col width="30" customWidth="1" style="16" min="15" max="15"/>
    <col width="22" customWidth="1" style="16" min="16" max="16"/>
    <col width="28" customWidth="1" style="16" min="17" max="17"/>
    <col width="55" customWidth="1" style="16" min="18" max="18"/>
    <col width="22" customWidth="1" style="16" min="19" max="19"/>
    <col width="22" customWidth="1" style="16" min="20" max="20"/>
    <col width="28" customWidth="1" style="16" min="21" max="21"/>
    <col width="25" customWidth="1" style="16" min="22" max="22"/>
    <col width="28" customWidth="1" style="16" min="23" max="23"/>
    <col width="27" customWidth="1" style="16" min="24" max="24"/>
    <col width="28" customWidth="1" style="16" min="25" max="25"/>
    <col width="35" customWidth="1" style="16" min="26" max="26"/>
    <col width="30" customWidth="1" style="16" min="27" max="27"/>
    <col width="48" customWidth="1" style="16" min="28" max="28"/>
    <col width="28" customWidth="1" style="16" min="29" max="29"/>
    <col width="50" customWidth="1" style="16" min="30" max="30"/>
    <col width="28" customWidth="1" style="16" min="31" max="31"/>
    <col width="38" customWidth="1" style="16" min="32" max="32"/>
    <col width="58" customWidth="1" style="16" min="33" max="33"/>
    <col width="26" customWidth="1" style="16" min="34" max="34"/>
    <col width="34" customWidth="1" style="16" min="35" max="35"/>
    <col width="28" customWidth="1" style="16" min="36" max="36"/>
    <col width="62" customWidth="1" style="16" min="37" max="37"/>
  </cols>
  <sheetData>
    <row r="1" ht="44" customHeight="1" s="16">
      <c r="A1" s="6" t="inlineStr">
        <is>
          <t>Card Name</t>
        </is>
      </c>
      <c r="B1" s="6" t="inlineStr">
        <is>
          <t>Card Type</t>
        </is>
      </c>
      <c r="C1" s="6" t="inlineStr">
        <is>
          <t>Subtype</t>
        </is>
      </c>
      <c r="D1" s="6" t="inlineStr">
        <is>
          <t>Rarity</t>
        </is>
      </c>
      <c r="E1" s="6" t="inlineStr">
        <is>
          <t>Power / Global</t>
        </is>
      </c>
      <c r="F1" s="6" t="inlineStr">
        <is>
          <t>Resistance</t>
        </is>
      </c>
      <c r="G1" s="6" t="inlineStr">
        <is>
          <t>Alignments</t>
        </is>
      </c>
      <c r="H1" s="6" t="inlineStr">
        <is>
          <t>Attributes</t>
        </is>
      </c>
      <c r="I1" s="6" t="inlineStr">
        <is>
          <t>Mechanical Behavior (paraphrased)</t>
        </is>
      </c>
      <c r="J1" s="6" t="inlineStr">
        <is>
          <t>Engine Implementation Status</t>
        </is>
      </c>
      <c r="K1" s="6" t="inlineStr">
        <is>
          <t>Confidence</t>
        </is>
      </c>
      <c r="L1" s="6" t="inlineStr">
        <is>
          <t>Research Notes</t>
        </is>
      </c>
      <c r="M1" s="6" t="inlineStr">
        <is>
          <t>Primary Source URL</t>
        </is>
      </c>
      <c r="N1" s="19" t="inlineStr">
        <is>
          <t>Trigger</t>
        </is>
      </c>
      <c r="O1" s="19" t="inlineStr">
        <is>
          <t>Target selector</t>
        </is>
      </c>
      <c r="P1" s="19" t="inlineStr">
        <is>
          <t>Cost</t>
        </is>
      </c>
      <c r="Q1" s="19" t="inlineStr">
        <is>
          <t>Duration / expiry</t>
        </is>
      </c>
      <c r="R1" s="19" t="inlineStr">
        <is>
          <t>Modifier / state change</t>
        </is>
      </c>
      <c r="S1" s="19" t="inlineStr">
        <is>
          <t>Needs exact card verification</t>
        </is>
      </c>
      <c r="T1" s="23" t="inlineStr">
        <is>
          <t>Incoming Control Arrow</t>
        </is>
      </c>
      <c r="U1" s="23" t="inlineStr">
        <is>
          <t>Outgoing Control Arrows</t>
        </is>
      </c>
      <c r="V1" s="23" t="inlineStr">
        <is>
          <t>Income / Treasury Rule</t>
        </is>
      </c>
      <c r="W1" s="23" t="inlineStr">
        <is>
          <t>Action Token Capacity</t>
        </is>
      </c>
      <c r="X1" s="23" t="inlineStr">
        <is>
          <t>Uniqueness / Duplicate Rule</t>
        </is>
      </c>
      <c r="Y1" s="23" t="inlineStr">
        <is>
          <t>Play Requirement</t>
        </is>
      </c>
      <c r="Z1" s="23" t="inlineStr">
        <is>
          <t>Response Window</t>
        </is>
      </c>
      <c r="AA1" s="23" t="inlineStr">
        <is>
          <t>Resolution Priority</t>
        </is>
      </c>
      <c r="AB1" s="23" t="inlineStr">
        <is>
          <t>Verification Evidence</t>
        </is>
      </c>
      <c r="AC1" s="26" t="inlineStr">
        <is>
          <t>Functional Completeness</t>
        </is>
      </c>
      <c r="AD1" s="26" t="inlineStr">
        <is>
          <t>Remaining Blocker</t>
        </is>
      </c>
      <c r="AE1" s="26" t="inlineStr">
        <is>
          <t>Source Tier</t>
        </is>
      </c>
      <c r="AF1" s="29" t="inlineStr">
        <is>
          <t>Physical Arrow Geometry</t>
        </is>
      </c>
      <c r="AG1" s="29" t="inlineStr">
        <is>
          <t>Geometry Evidence</t>
        </is>
      </c>
      <c r="AH1" s="32" t="inlineStr">
        <is>
          <t>Incoming Arrow Direction</t>
        </is>
      </c>
      <c r="AI1" s="32" t="inlineStr">
        <is>
          <t>Outgoing Arrow Directions</t>
        </is>
      </c>
      <c r="AJ1" s="32" t="inlineStr">
        <is>
          <t>Arrow Direction Verification</t>
        </is>
      </c>
      <c r="AK1" s="32" t="inlineStr">
        <is>
          <t>Arrow Direction Source</t>
        </is>
      </c>
    </row>
    <row r="2" ht="34" customHeight="1" s="16">
      <c r="A2" s="20" t="inlineStr">
        <is>
          <t>Adepts of Hermes</t>
        </is>
      </c>
      <c r="B2" s="20" t="inlineStr">
        <is>
          <t>Illuminati</t>
        </is>
      </c>
      <c r="C2" s="20" t="str"/>
      <c r="D2" s="20" t="inlineStr">
        <is>
          <t>Illuminati (fixed)</t>
        </is>
      </c>
      <c r="E2" s="20" t="str"/>
      <c r="F2" s="20" t="str"/>
      <c r="G2" s="20" t="str"/>
      <c r="H2" s="20" t="str"/>
      <c r="I2" s="20" t="inlineStr">
        <is>
          <t>Power 7/7. Magic Resources count as controlled Groups for victory; failed control attacks against a Group from your own hand return it to hand; +6 to control or destroy Magic groups.</t>
        </is>
      </c>
      <c r="J2" s="20" t="inlineStr">
        <is>
          <t>Needs rules-engine encoding</t>
        </is>
      </c>
      <c r="K2" s="20" t="inlineStr">
        <is>
          <t>High</t>
        </is>
      </c>
      <c r="L2" s="20" t="inlineStr">
        <is>
          <t>Mechanics checked against the printed card; described in our own words.</t>
        </is>
      </c>
      <c r="M2" s="20" t="inlineStr">
        <is>
          <t>https://www.scribd.com/document/851089808/TheINWOBook</t>
        </is>
      </c>
      <c r="N2" t="inlineStr">
        <is>
          <t>Passive/activated</t>
        </is>
      </c>
      <c r="O2" t="inlineStr">
        <is>
          <t>Own structure / eligible attack</t>
        </is>
      </c>
      <c r="Q2" t="inlineStr">
        <is>
          <t>Game</t>
        </is>
      </c>
      <c r="R2" t="inlineStr">
        <is>
          <t>Power 7/7. Magic Resources count as controlled Groups for victory; failed control attacks against a Group from your own hand return it to hand; +6 to control or destroy Magic groups.</t>
        </is>
      </c>
      <c r="S2" t="inlineStr">
        <is>
          <t>NO</t>
        </is>
      </c>
      <c r="T2" t="inlineStr">
        <is>
          <t>N/A</t>
        </is>
      </c>
      <c r="U2" t="n">
        <v>4</v>
      </c>
      <c r="V2" t="inlineStr">
        <is>
          <t>N/A — INWO uses Plots instead of group income/money</t>
        </is>
      </c>
      <c r="W2" t="inlineStr">
        <is>
          <t>Standard: 1 action token (Illuminati: 1 Illuminati action); verified mechanics state no override</t>
        </is>
      </c>
      <c r="X2" t="inlineStr">
        <is>
          <t>Several players may be factions of the same Illuminati (+5 vs. each other, cannot share victory); a spare copy can be played as an agent card (base rule)</t>
        </is>
      </c>
      <c r="Y2" t="inlineStr">
        <is>
          <t>None beyond base rules (verified mechanics state no override)</t>
        </is>
      </c>
      <c r="Z2" t="inlineStr">
        <is>
          <t>Standard response window (verified mechanics state no override)</t>
        </is>
      </c>
      <c r="AA2" t="inlineStr">
        <is>
          <t>Specific card overrides general rules</t>
        </is>
      </c>
      <c r="AB2" t="inlineStr">
        <is>
          <t>Indexed INWO Book, Illuminati section</t>
        </is>
      </c>
      <c r="AC2" t="inlineStr">
        <is>
          <t>FUNCTIONALLY COMPLETE</t>
        </is>
      </c>
      <c r="AE2" t="inlineStr">
        <is>
          <t>Indexed INWO Book / historical cross-check</t>
        </is>
      </c>
      <c r="AF2" t="inlineStr">
        <is>
          <t>4 outgoing arrows (standard Illuminati geometry)</t>
        </is>
      </c>
      <c r="AG2" t="inlineStr">
        <is>
          <t>Official rules</t>
        </is>
      </c>
      <c r="AH2" t="inlineStr">
        <is>
          <t>NONE</t>
        </is>
      </c>
      <c r="AI2" t="inlineStr">
        <is>
          <t>TOP, RIGHT, BOTTOM, LEFT</t>
        </is>
      </c>
      <c r="AJ2" t="inlineStr">
        <is>
          <t>VERIFIED</t>
        </is>
      </c>
      <c r="AK2" t="inlineStr">
        <is>
          <t>Official INWO rules: Illuminati have four outgoing control arrows — https://www.sjgames.com/inwo/rules/inwo-rules-12.pdf</t>
        </is>
      </c>
    </row>
    <row r="3" ht="34" customHeight="1" s="16">
      <c r="A3" s="20" t="inlineStr">
        <is>
          <t>Bavarian Illuminati</t>
        </is>
      </c>
      <c r="B3" s="20" t="inlineStr">
        <is>
          <t>Illuminati</t>
        </is>
      </c>
      <c r="C3" s="20" t="str"/>
      <c r="D3" s="20" t="inlineStr">
        <is>
          <t>Illuminati (fixed)</t>
        </is>
      </c>
      <c r="E3" s="20" t="str"/>
      <c r="F3" s="20" t="str"/>
      <c r="G3" s="20" t="str"/>
      <c r="H3" s="20" t="str"/>
      <c r="I3" s="20" t="inlineStr">
        <is>
          <t>Power 10/10. May make one privileged attack each turn without another card; special victory at total controlled Power 50 including Bavaria.</t>
        </is>
      </c>
      <c r="J3" s="20" t="inlineStr">
        <is>
          <t>Needs rules-engine encoding</t>
        </is>
      </c>
      <c r="K3" s="20" t="inlineStr">
        <is>
          <t>High</t>
        </is>
      </c>
      <c r="L3" s="20" t="inlineStr">
        <is>
          <t>Mechanics checked against the printed card; described in our own words.</t>
        </is>
      </c>
      <c r="M3" s="20" t="inlineStr">
        <is>
          <t>https://www.scribd.com/document/851089808/TheINWOBook</t>
        </is>
      </c>
      <c r="N3" t="inlineStr">
        <is>
          <t>Passive/activated</t>
        </is>
      </c>
      <c r="O3" t="inlineStr">
        <is>
          <t>Own structure / eligible attack</t>
        </is>
      </c>
      <c r="Q3" t="inlineStr">
        <is>
          <t>Game</t>
        </is>
      </c>
      <c r="R3" t="inlineStr">
        <is>
          <t>Power 10/10. May make one privileged attack each turn without another card; special victory at total controlled Power 50 including Bavaria.</t>
        </is>
      </c>
      <c r="S3" t="inlineStr">
        <is>
          <t>NO</t>
        </is>
      </c>
      <c r="T3" t="inlineStr">
        <is>
          <t>N/A</t>
        </is>
      </c>
      <c r="U3" t="n">
        <v>4</v>
      </c>
      <c r="V3" t="inlineStr">
        <is>
          <t>N/A — INWO uses Plots instead of group income/money</t>
        </is>
      </c>
      <c r="W3" t="inlineStr">
        <is>
          <t>Standard: 1 action token (Illuminati: 1 Illuminati action); verified mechanics state no override</t>
        </is>
      </c>
      <c r="X3" t="inlineStr">
        <is>
          <t>Several players may be factions of the same Illuminati (+5 vs. each other, cannot share victory); a spare copy can be played as an agent card (base rule)</t>
        </is>
      </c>
      <c r="Y3" t="inlineStr">
        <is>
          <t>None beyond base rules (verified mechanics state no override)</t>
        </is>
      </c>
      <c r="Z3" t="inlineStr">
        <is>
          <t>Standard response window (verified mechanics state no override)</t>
        </is>
      </c>
      <c r="AA3" t="inlineStr">
        <is>
          <t>Specific card overrides general rules</t>
        </is>
      </c>
      <c r="AB3" t="inlineStr">
        <is>
          <t>Indexed INWO Book, Illuminati section</t>
        </is>
      </c>
      <c r="AC3" t="inlineStr">
        <is>
          <t>FUNCTIONALLY COMPLETE</t>
        </is>
      </c>
      <c r="AE3" t="inlineStr">
        <is>
          <t>Indexed INWO Book / historical cross-check</t>
        </is>
      </c>
      <c r="AF3" t="inlineStr">
        <is>
          <t>4 outgoing arrows (standard Illuminati geometry)</t>
        </is>
      </c>
      <c r="AG3" t="inlineStr">
        <is>
          <t>Official rules</t>
        </is>
      </c>
      <c r="AH3" t="inlineStr">
        <is>
          <t>NONE</t>
        </is>
      </c>
      <c r="AI3" t="inlineStr">
        <is>
          <t>TOP, RIGHT, BOTTOM, LEFT</t>
        </is>
      </c>
      <c r="AJ3" t="inlineStr">
        <is>
          <t>VERIFIED</t>
        </is>
      </c>
      <c r="AK3" t="inlineStr">
        <is>
          <t>Official INWO rules: Illuminati have four outgoing control arrows — https://www.sjgames.com/inwo/rules/inwo-rules-12.pdf</t>
        </is>
      </c>
    </row>
    <row r="4" ht="34" customHeight="1" s="16">
      <c r="A4" s="20" t="inlineStr">
        <is>
          <t>Bermuda Triangle</t>
        </is>
      </c>
      <c r="B4" s="20" t="inlineStr">
        <is>
          <t>Illuminati</t>
        </is>
      </c>
      <c r="C4" s="20" t="str"/>
      <c r="D4" s="20" t="inlineStr">
        <is>
          <t>Illuminati (fixed)</t>
        </is>
      </c>
      <c r="E4" s="20" t="str"/>
      <c r="F4" s="20" t="str"/>
      <c r="G4" s="20" t="str"/>
      <c r="H4" s="20" t="str"/>
      <c r="I4" s="20" t="inlineStr">
        <is>
          <t>Power 8/8. May freely reorganize its Power Structure at end of its turn; special victory requires at least 35 total Power including Bermuda and at least one Group of every alignment.</t>
        </is>
      </c>
      <c r="J4" s="20" t="inlineStr">
        <is>
          <t>Needs rules-engine encoding</t>
        </is>
      </c>
      <c r="K4" s="20" t="inlineStr">
        <is>
          <t>High</t>
        </is>
      </c>
      <c r="L4" s="20" t="inlineStr">
        <is>
          <t>Mechanics checked against the printed card; described in our own words.</t>
        </is>
      </c>
      <c r="M4" s="20" t="inlineStr">
        <is>
          <t>https://www.scribd.com/document/851089808/TheINWOBook</t>
        </is>
      </c>
      <c r="N4" t="inlineStr">
        <is>
          <t>Passive/activated</t>
        </is>
      </c>
      <c r="O4" t="inlineStr">
        <is>
          <t>Own structure / eligible attack</t>
        </is>
      </c>
      <c r="Q4" t="inlineStr">
        <is>
          <t>Game</t>
        </is>
      </c>
      <c r="R4" t="inlineStr">
        <is>
          <t>Power 8/8. May freely reorganize its Power Structure at end of its turn; special victory requires at least 35 total Power including Bermuda and at least one Group of every alignment.</t>
        </is>
      </c>
      <c r="S4" t="inlineStr">
        <is>
          <t>NO</t>
        </is>
      </c>
      <c r="T4" t="inlineStr">
        <is>
          <t>N/A</t>
        </is>
      </c>
      <c r="U4" t="n">
        <v>4</v>
      </c>
      <c r="V4" t="inlineStr">
        <is>
          <t>N/A — INWO uses Plots instead of group income/money</t>
        </is>
      </c>
      <c r="W4" t="inlineStr">
        <is>
          <t>Standard: 1 action token (Illuminati: 1 Illuminati action); verified mechanics state no override</t>
        </is>
      </c>
      <c r="X4" t="inlineStr">
        <is>
          <t>Several players may be factions of the same Illuminati (+5 vs. each other, cannot share victory); a spare copy can be played as an agent card (base rule)</t>
        </is>
      </c>
      <c r="Y4" t="inlineStr">
        <is>
          <t>None beyond base rules (verified mechanics state no override)</t>
        </is>
      </c>
      <c r="Z4" t="inlineStr">
        <is>
          <t>Standard response window (verified mechanics state no override)</t>
        </is>
      </c>
      <c r="AA4" t="inlineStr">
        <is>
          <t>Specific card overrides general rules</t>
        </is>
      </c>
      <c r="AB4" t="inlineStr">
        <is>
          <t>Indexed INWO Book, Illuminati section</t>
        </is>
      </c>
      <c r="AC4" t="inlineStr">
        <is>
          <t>FUNCTIONALLY COMPLETE</t>
        </is>
      </c>
      <c r="AE4" t="inlineStr">
        <is>
          <t>Indexed INWO Book / historical cross-check</t>
        </is>
      </c>
      <c r="AF4" t="inlineStr">
        <is>
          <t>4 outgoing arrows (standard Illuminati geometry)</t>
        </is>
      </c>
      <c r="AG4" t="inlineStr">
        <is>
          <t>Official rules</t>
        </is>
      </c>
      <c r="AH4" t="inlineStr">
        <is>
          <t>NONE</t>
        </is>
      </c>
      <c r="AI4" t="inlineStr">
        <is>
          <t>TOP, RIGHT, BOTTOM, LEFT</t>
        </is>
      </c>
      <c r="AJ4" t="inlineStr">
        <is>
          <t>VERIFIED</t>
        </is>
      </c>
      <c r="AK4" t="inlineStr">
        <is>
          <t>Official INWO rules: Illuminati have four outgoing control arrows — https://www.sjgames.com/inwo/rules/inwo-rules-12.pdf</t>
        </is>
      </c>
    </row>
    <row r="5" ht="34" customHeight="1" s="16">
      <c r="A5" s="20" t="inlineStr">
        <is>
          <t>Discordian Society</t>
        </is>
      </c>
      <c r="B5" s="20" t="inlineStr">
        <is>
          <t>Illuminati</t>
        </is>
      </c>
      <c r="C5" s="20" t="str"/>
      <c r="D5" s="20" t="inlineStr">
        <is>
          <t>Illuminati (fixed)</t>
        </is>
      </c>
      <c r="E5" s="20" t="str"/>
      <c r="F5" s="20" t="str"/>
      <c r="G5" s="20" t="str"/>
      <c r="H5" s="20" t="str"/>
      <c r="I5" s="20" t="inlineStr">
        <is>
          <t>Power 7/7. +4 to control Weird groups; Weird groups with Power 3+ count double toward group-count victory; its Power Structure is immune to attacks and special abilities from Government or Straight groups.</t>
        </is>
      </c>
      <c r="J5" s="20" t="inlineStr">
        <is>
          <t>Needs rules-engine encoding</t>
        </is>
      </c>
      <c r="K5" s="20" t="inlineStr">
        <is>
          <t>High</t>
        </is>
      </c>
      <c r="L5" s="20" t="inlineStr">
        <is>
          <t>Mechanics checked against the printed card; described in our own words.</t>
        </is>
      </c>
      <c r="M5" s="20" t="inlineStr">
        <is>
          <t>https://www.scribd.com/document/851089808/TheINWOBook</t>
        </is>
      </c>
      <c r="N5" t="inlineStr">
        <is>
          <t>Passive/activated</t>
        </is>
      </c>
      <c r="O5" t="inlineStr">
        <is>
          <t>Own structure / eligible attack</t>
        </is>
      </c>
      <c r="Q5" t="inlineStr">
        <is>
          <t>Game</t>
        </is>
      </c>
      <c r="R5" t="inlineStr">
        <is>
          <t>Power 7/7. +4 to control Weird groups; Weird groups with Power 3+ count double toward group-count victory; its Power Structure is immune to attacks and special abilities from Government or Straight groups.</t>
        </is>
      </c>
      <c r="S5" t="inlineStr">
        <is>
          <t>NO</t>
        </is>
      </c>
      <c r="T5" t="inlineStr">
        <is>
          <t>N/A</t>
        </is>
      </c>
      <c r="U5" t="n">
        <v>4</v>
      </c>
      <c r="V5" t="inlineStr">
        <is>
          <t>N/A — INWO uses Plots instead of group income/money</t>
        </is>
      </c>
      <c r="W5" t="inlineStr">
        <is>
          <t>Standard: 1 action token (Illuminati: 1 Illuminati action); verified mechanics state no override</t>
        </is>
      </c>
      <c r="X5" t="inlineStr">
        <is>
          <t>Several players may be factions of the same Illuminati (+5 vs. each other, cannot share victory); a spare copy can be played as an agent card (base rule)</t>
        </is>
      </c>
      <c r="Y5" t="inlineStr">
        <is>
          <t>None beyond base rules (verified mechanics state no override)</t>
        </is>
      </c>
      <c r="Z5" t="inlineStr">
        <is>
          <t>Standard response window (verified mechanics state no override)</t>
        </is>
      </c>
      <c r="AA5" t="inlineStr">
        <is>
          <t>Specific card overrides general rules</t>
        </is>
      </c>
      <c r="AB5" t="inlineStr">
        <is>
          <t>Indexed INWO Book, Illuminati section</t>
        </is>
      </c>
      <c r="AC5" t="inlineStr">
        <is>
          <t>FUNCTIONALLY COMPLETE</t>
        </is>
      </c>
      <c r="AE5" t="inlineStr">
        <is>
          <t>Indexed INWO Book / historical cross-check</t>
        </is>
      </c>
      <c r="AF5" t="inlineStr">
        <is>
          <t>4 outgoing arrows (standard Illuminati geometry)</t>
        </is>
      </c>
      <c r="AG5" t="inlineStr">
        <is>
          <t>Official rules</t>
        </is>
      </c>
      <c r="AH5" t="inlineStr">
        <is>
          <t>NONE</t>
        </is>
      </c>
      <c r="AI5" t="inlineStr">
        <is>
          <t>TOP, RIGHT, BOTTOM, LEFT</t>
        </is>
      </c>
      <c r="AJ5" t="inlineStr">
        <is>
          <t>VERIFIED</t>
        </is>
      </c>
      <c r="AK5" t="inlineStr">
        <is>
          <t>Official INWO rules: Illuminati have four outgoing control arrows — https://www.sjgames.com/inwo/rules/inwo-rules-12.pdf</t>
        </is>
      </c>
    </row>
    <row r="6" ht="34" customHeight="1" s="16">
      <c r="A6" s="20" t="inlineStr">
        <is>
          <t>Gnomes of Zurich</t>
        </is>
      </c>
      <c r="B6" s="20" t="inlineStr">
        <is>
          <t>Illuminati</t>
        </is>
      </c>
      <c r="C6" s="20" t="str"/>
      <c r="D6" s="20" t="inlineStr">
        <is>
          <t>Illuminati (fixed)</t>
        </is>
      </c>
      <c r="E6" s="20" t="str"/>
      <c r="F6" s="20" t="str"/>
      <c r="G6" s="20" t="str"/>
      <c r="H6" s="20" t="str"/>
      <c r="I6" s="20" t="inlineStr">
        <is>
          <t>Power 9/9. Plot hand limit 6; +4 to control Banks; Corporate groups or Banks with Power 4+ count double toward group-count victory. [Official errata: +4 to control Bank Groups only, not Corporate Groups generally.]</t>
        </is>
      </c>
      <c r="J6" s="20" t="inlineStr">
        <is>
          <t>Needs rules-engine encoding</t>
        </is>
      </c>
      <c r="K6" s="20" t="inlineStr">
        <is>
          <t>High</t>
        </is>
      </c>
      <c r="L6" s="20" t="inlineStr">
        <is>
          <t>Mechanics checked against the printed card; described in our own words.</t>
        </is>
      </c>
      <c r="M6" s="20" t="inlineStr">
        <is>
          <t>https://www.scribd.com/document/851089808/TheINWOBook</t>
        </is>
      </c>
      <c r="N6" t="inlineStr">
        <is>
          <t>Passive/activated</t>
        </is>
      </c>
      <c r="O6" t="inlineStr">
        <is>
          <t>Own structure / eligible attack</t>
        </is>
      </c>
      <c r="Q6" t="inlineStr">
        <is>
          <t>Game</t>
        </is>
      </c>
      <c r="R6" t="inlineStr">
        <is>
          <t>Power 9/9. Plot hand limit 6; +4 to control Banks; Corporate groups or Banks with Power 4+ count double toward group-count victory. [Official errata: +4 to control Bank Groups only, not Corporate Groups generally.]</t>
        </is>
      </c>
      <c r="S6" t="inlineStr">
        <is>
          <t>NO</t>
        </is>
      </c>
      <c r="T6" t="inlineStr">
        <is>
          <t>N/A</t>
        </is>
      </c>
      <c r="U6" t="n">
        <v>4</v>
      </c>
      <c r="V6" t="inlineStr">
        <is>
          <t>N/A — INWO uses Plots instead of group income/money</t>
        </is>
      </c>
      <c r="W6" t="inlineStr">
        <is>
          <t>Standard: 1 action token (Illuminati: 1 Illuminati action); verified mechanics state no override</t>
        </is>
      </c>
      <c r="X6" t="inlineStr">
        <is>
          <t>Several players may be factions of the same Illuminati (+5 vs. each other, cannot share victory); a spare copy can be played as an agent card (base rule)</t>
        </is>
      </c>
      <c r="Y6" t="inlineStr">
        <is>
          <t>None beyond base rules (verified mechanics state no override)</t>
        </is>
      </c>
      <c r="Z6" t="inlineStr">
        <is>
          <t>Standard response window (verified mechanics state no override)</t>
        </is>
      </c>
      <c r="AA6" t="inlineStr">
        <is>
          <t>Specific card overrides general rules</t>
        </is>
      </c>
      <c r="AB6" t="inlineStr">
        <is>
          <t>Indexed INWO Book, Illuminati section</t>
        </is>
      </c>
      <c r="AC6" t="inlineStr">
        <is>
          <t>FUNCTIONALLY COMPLETE</t>
        </is>
      </c>
      <c r="AE6" t="inlineStr">
        <is>
          <t>Indexed INWO Book / historical cross-check</t>
        </is>
      </c>
      <c r="AF6" t="inlineStr">
        <is>
          <t>4 outgoing arrows (standard Illuminati geometry)</t>
        </is>
      </c>
      <c r="AG6" t="inlineStr">
        <is>
          <t>Official rules</t>
        </is>
      </c>
      <c r="AH6" t="inlineStr">
        <is>
          <t>NONE</t>
        </is>
      </c>
      <c r="AI6" t="inlineStr">
        <is>
          <t>TOP, RIGHT, BOTTOM, LEFT</t>
        </is>
      </c>
      <c r="AJ6" t="inlineStr">
        <is>
          <t>VERIFIED</t>
        </is>
      </c>
      <c r="AK6" t="inlineStr">
        <is>
          <t>Official INWO rules: Illuminati have four outgoing control arrows — https://www.sjgames.com/inwo/rules/inwo-rules-12.pdf</t>
        </is>
      </c>
    </row>
    <row r="7" ht="34" customHeight="1" s="16">
      <c r="A7" s="20" t="inlineStr">
        <is>
          <t>The Network</t>
        </is>
      </c>
      <c r="B7" s="20" t="inlineStr">
        <is>
          <t>Illuminati</t>
        </is>
      </c>
      <c r="C7" s="20" t="str"/>
      <c r="D7" s="20" t="inlineStr">
        <is>
          <t>Illuminati (fixed)</t>
        </is>
      </c>
      <c r="E7" s="20" t="str"/>
      <c r="F7" s="20" t="str"/>
      <c r="G7" s="20" t="str"/>
      <c r="H7" s="20" t="str"/>
      <c r="I7" s="20" t="inlineStr">
        <is>
          <t>Power 8/8. Draw two Plots at start of turn instead of one; Computer groups with Power 3+ count double toward group-count victory.</t>
        </is>
      </c>
      <c r="J7" s="20" t="inlineStr">
        <is>
          <t>Needs rules-engine encoding</t>
        </is>
      </c>
      <c r="K7" s="20" t="inlineStr">
        <is>
          <t>High</t>
        </is>
      </c>
      <c r="L7" s="20" t="inlineStr">
        <is>
          <t>Mechanics checked against the printed card; described in our own words.</t>
        </is>
      </c>
      <c r="M7" s="20" t="inlineStr">
        <is>
          <t>https://www.scribd.com/document/851089808/TheINWOBook</t>
        </is>
      </c>
      <c r="N7" t="inlineStr">
        <is>
          <t>Passive/activated</t>
        </is>
      </c>
      <c r="O7" t="inlineStr">
        <is>
          <t>Own structure / eligible attack</t>
        </is>
      </c>
      <c r="Q7" t="inlineStr">
        <is>
          <t>Game</t>
        </is>
      </c>
      <c r="R7" t="inlineStr">
        <is>
          <t>Power 8/8. Draw two Plots at start of turn instead of one; Computer groups with Power 3+ count double toward group-count victory.</t>
        </is>
      </c>
      <c r="S7" t="inlineStr">
        <is>
          <t>NO</t>
        </is>
      </c>
      <c r="T7" t="inlineStr">
        <is>
          <t>N/A</t>
        </is>
      </c>
      <c r="U7" t="n">
        <v>4</v>
      </c>
      <c r="V7" t="inlineStr">
        <is>
          <t>N/A — INWO uses Plots instead of group income/money</t>
        </is>
      </c>
      <c r="W7" t="inlineStr">
        <is>
          <t>Standard: 1 action token (Illuminati: 1 Illuminati action); verified mechanics state no override</t>
        </is>
      </c>
      <c r="X7" t="inlineStr">
        <is>
          <t>Several players may be factions of the same Illuminati (+5 vs. each other, cannot share victory); a spare copy can be played as an agent card (base rule)</t>
        </is>
      </c>
      <c r="Y7" t="inlineStr">
        <is>
          <t>None beyond base rules (verified mechanics state no override)</t>
        </is>
      </c>
      <c r="Z7" t="inlineStr">
        <is>
          <t>Standard response window (verified mechanics state no override)</t>
        </is>
      </c>
      <c r="AA7" t="inlineStr">
        <is>
          <t>Specific card overrides general rules</t>
        </is>
      </c>
      <c r="AB7" t="inlineStr">
        <is>
          <t>Indexed INWO Book, Illuminati section</t>
        </is>
      </c>
      <c r="AC7" t="inlineStr">
        <is>
          <t>FUNCTIONALLY COMPLETE</t>
        </is>
      </c>
      <c r="AE7" t="inlineStr">
        <is>
          <t>Indexed INWO Book / historical cross-check</t>
        </is>
      </c>
      <c r="AF7" t="inlineStr">
        <is>
          <t>4 outgoing arrows (standard Illuminati geometry)</t>
        </is>
      </c>
      <c r="AG7" t="inlineStr">
        <is>
          <t>Official rules</t>
        </is>
      </c>
      <c r="AH7" t="inlineStr">
        <is>
          <t>NONE</t>
        </is>
      </c>
      <c r="AI7" t="inlineStr">
        <is>
          <t>TOP, RIGHT, BOTTOM, LEFT</t>
        </is>
      </c>
      <c r="AJ7" t="inlineStr">
        <is>
          <t>VERIFIED</t>
        </is>
      </c>
      <c r="AK7" t="inlineStr">
        <is>
          <t>Official INWO rules: Illuminati have four outgoing control arrows — https://www.sjgames.com/inwo/rules/inwo-rules-12.pdf</t>
        </is>
      </c>
    </row>
    <row r="8" ht="34" customHeight="1" s="16">
      <c r="A8" s="20" t="inlineStr">
        <is>
          <t>Servants of Cthulhu</t>
        </is>
      </c>
      <c r="B8" s="20" t="inlineStr">
        <is>
          <t>Illuminati</t>
        </is>
      </c>
      <c r="C8" s="20" t="str"/>
      <c r="D8" s="20" t="inlineStr">
        <is>
          <t>Illuminati (fixed)</t>
        </is>
      </c>
      <c r="E8" s="20" t="str"/>
      <c r="F8" s="20" t="str"/>
      <c r="G8" s="20" t="str"/>
      <c r="H8" s="20" t="str"/>
      <c r="I8" s="20" t="inlineStr">
        <is>
          <t>Power 9/9. +4 on any destruction attempt including Disasters/Assassinations; draw a Plot whenever you destroy a group; each destroyed group reduces normal group requirement by one and destroying 8 groups wins.</t>
        </is>
      </c>
      <c r="J8" s="20" t="inlineStr">
        <is>
          <t>Needs rules-engine encoding</t>
        </is>
      </c>
      <c r="K8" s="20" t="inlineStr">
        <is>
          <t>High</t>
        </is>
      </c>
      <c r="L8" s="20" t="inlineStr">
        <is>
          <t>Mechanics checked against the printed card; described in our own words.</t>
        </is>
      </c>
      <c r="M8" s="20" t="inlineStr">
        <is>
          <t>https://www.scribd.com/document/851089808/TheINWOBook</t>
        </is>
      </c>
      <c r="N8" t="inlineStr">
        <is>
          <t>Passive/activated</t>
        </is>
      </c>
      <c r="O8" t="inlineStr">
        <is>
          <t>Own structure / eligible attack</t>
        </is>
      </c>
      <c r="Q8" t="inlineStr">
        <is>
          <t>Game</t>
        </is>
      </c>
      <c r="R8" t="inlineStr">
        <is>
          <t>Power 9/9. +4 on any destruction attempt including Disasters/Assassinations; draw a Plot whenever you destroy a group; each destroyed group reduces normal group requirement by one and destroying 8 groups wins.</t>
        </is>
      </c>
      <c r="S8" t="inlineStr">
        <is>
          <t>NO</t>
        </is>
      </c>
      <c r="T8" t="inlineStr">
        <is>
          <t>N/A</t>
        </is>
      </c>
      <c r="U8" t="n">
        <v>4</v>
      </c>
      <c r="V8" t="inlineStr">
        <is>
          <t>N/A — INWO uses Plots instead of group income/money</t>
        </is>
      </c>
      <c r="W8" t="inlineStr">
        <is>
          <t>Standard: 1 action token (Illuminati: 1 Illuminati action); verified mechanics state no override</t>
        </is>
      </c>
      <c r="X8" t="inlineStr">
        <is>
          <t>Several players may be factions of the same Illuminati (+5 vs. each other, cannot share victory); a spare copy can be played as an agent card (base rule)</t>
        </is>
      </c>
      <c r="Y8" t="inlineStr">
        <is>
          <t>None beyond base rules (verified mechanics state no override)</t>
        </is>
      </c>
      <c r="Z8" t="inlineStr">
        <is>
          <t>Standard response window (verified mechanics state no override)</t>
        </is>
      </c>
      <c r="AA8" t="inlineStr">
        <is>
          <t>Specific card overrides general rules</t>
        </is>
      </c>
      <c r="AB8" t="inlineStr">
        <is>
          <t>Indexed INWO Book, Illuminati section</t>
        </is>
      </c>
      <c r="AC8" t="inlineStr">
        <is>
          <t>FUNCTIONALLY COMPLETE</t>
        </is>
      </c>
      <c r="AE8" t="inlineStr">
        <is>
          <t>Indexed INWO Book / historical cross-check</t>
        </is>
      </c>
      <c r="AF8" t="inlineStr">
        <is>
          <t>4 outgoing arrows (standard Illuminati geometry)</t>
        </is>
      </c>
      <c r="AG8" t="inlineStr">
        <is>
          <t>Official rules</t>
        </is>
      </c>
      <c r="AH8" t="inlineStr">
        <is>
          <t>NONE</t>
        </is>
      </c>
      <c r="AI8" t="inlineStr">
        <is>
          <t>TOP, RIGHT, BOTTOM, LEFT</t>
        </is>
      </c>
      <c r="AJ8" t="inlineStr">
        <is>
          <t>VERIFIED</t>
        </is>
      </c>
      <c r="AK8" t="inlineStr">
        <is>
          <t>Official INWO rules: Illuminati have four outgoing control arrows — https://www.sjgames.com/inwo/rules/inwo-rules-12.pdf</t>
        </is>
      </c>
    </row>
    <row r="9" ht="34" customHeight="1" s="16">
      <c r="A9" s="20" t="inlineStr">
        <is>
          <t>Shangri-La</t>
        </is>
      </c>
      <c r="B9" s="20" t="inlineStr">
        <is>
          <t>Illuminati</t>
        </is>
      </c>
      <c r="C9" s="20" t="str"/>
      <c r="D9" s="20" t="inlineStr">
        <is>
          <t>Illuminati (fixed)</t>
        </is>
      </c>
      <c r="E9" s="20" t="str"/>
      <c r="F9" s="20" t="str"/>
      <c r="G9" s="20" t="str"/>
      <c r="H9" s="20" t="str"/>
      <c r="I9" s="20" t="inlineStr">
        <is>
          <t>Power 7/7. Every group in your Power Structure gets +5 defense against any attack including Instant; may only destroy Violent groups except eliminating a rival by taking its last group; special shared victory when Peaceful groups totaling 30 Power are in play. [Official errata: +5 defense applies against Instant attacks.]</t>
        </is>
      </c>
      <c r="J9" s="20" t="inlineStr">
        <is>
          <t>Needs rules-engine encoding</t>
        </is>
      </c>
      <c r="K9" s="20" t="inlineStr">
        <is>
          <t>High</t>
        </is>
      </c>
      <c r="L9" s="20" t="inlineStr">
        <is>
          <t>Mechanics checked against the printed card; described in our own words.</t>
        </is>
      </c>
      <c r="M9" s="20" t="inlineStr">
        <is>
          <t>https://www.scribd.com/document/851089808/TheINWOBook</t>
        </is>
      </c>
      <c r="N9" t="inlineStr">
        <is>
          <t>Passive/activated</t>
        </is>
      </c>
      <c r="O9" t="inlineStr">
        <is>
          <t>Own structure / eligible attack</t>
        </is>
      </c>
      <c r="Q9" t="inlineStr">
        <is>
          <t>Game</t>
        </is>
      </c>
      <c r="R9" t="inlineStr">
        <is>
          <t>Power 7/7. Every group in your Power Structure gets +5 defense against any attack including Instant; may only destroy Violent groups except eliminating a rival by taking its last group; special shared victory when Peaceful groups totaling 30 Power are in play. [Official errata: +5 defense applies against Instant attacks.]</t>
        </is>
      </c>
      <c r="S9" t="inlineStr">
        <is>
          <t>NO</t>
        </is>
      </c>
      <c r="T9" t="inlineStr">
        <is>
          <t>N/A</t>
        </is>
      </c>
      <c r="U9" t="n">
        <v>4</v>
      </c>
      <c r="V9" t="inlineStr">
        <is>
          <t>N/A — INWO uses Plots instead of group income/money</t>
        </is>
      </c>
      <c r="W9" t="inlineStr">
        <is>
          <t>Standard: 1 action token (Illuminati: 1 Illuminati action); verified mechanics state no override</t>
        </is>
      </c>
      <c r="X9" t="inlineStr">
        <is>
          <t>Several players may be factions of the same Illuminati (+5 vs. each other, cannot share victory); a spare copy can be played as an agent card (base rule)</t>
        </is>
      </c>
      <c r="Y9" t="inlineStr">
        <is>
          <t>None beyond base rules (verified mechanics state no override)</t>
        </is>
      </c>
      <c r="Z9" t="inlineStr">
        <is>
          <t>Standard response window (verified mechanics state no override)</t>
        </is>
      </c>
      <c r="AA9" t="inlineStr">
        <is>
          <t>Specific card overrides general rules</t>
        </is>
      </c>
      <c r="AB9" t="inlineStr">
        <is>
          <t>Indexed INWO Book, Illuminati section</t>
        </is>
      </c>
      <c r="AC9" t="inlineStr">
        <is>
          <t>FUNCTIONALLY COMPLETE</t>
        </is>
      </c>
      <c r="AE9" t="inlineStr">
        <is>
          <t>Indexed INWO Book / historical cross-check</t>
        </is>
      </c>
      <c r="AF9" t="inlineStr">
        <is>
          <t>4 outgoing arrows (standard Illuminati geometry)</t>
        </is>
      </c>
      <c r="AG9" t="inlineStr">
        <is>
          <t>Official rules</t>
        </is>
      </c>
      <c r="AH9" t="inlineStr">
        <is>
          <t>NONE</t>
        </is>
      </c>
      <c r="AI9" t="inlineStr">
        <is>
          <t>TOP, RIGHT, BOTTOM, LEFT</t>
        </is>
      </c>
      <c r="AJ9" t="inlineStr">
        <is>
          <t>VERIFIED</t>
        </is>
      </c>
      <c r="AK9" t="inlineStr">
        <is>
          <t>Official INWO rules: Illuminati have four outgoing control arrows — https://www.sjgames.com/inwo/rules/inwo-rules-12.pdf</t>
        </is>
      </c>
    </row>
    <row r="10" ht="34" customHeight="1" s="16">
      <c r="A10" s="20" t="inlineStr">
        <is>
          <t>UFOs</t>
        </is>
      </c>
      <c r="B10" s="20" t="inlineStr">
        <is>
          <t>Illuminati</t>
        </is>
      </c>
      <c r="C10" s="20" t="str"/>
      <c r="D10" s="20" t="inlineStr">
        <is>
          <t>Illuminati (fixed)</t>
        </is>
      </c>
      <c r="E10" s="20" t="str"/>
      <c r="F10" s="20" t="str"/>
      <c r="G10" s="20" t="str"/>
      <c r="H10" s="20" t="str"/>
      <c r="I10" s="20" t="inlineStr">
        <is>
          <t>Power 6/6 twice. Two Illuminati actions each turn, not usable in the same attack; may hold up to three different Goal cards and win with any one.</t>
        </is>
      </c>
      <c r="J10" s="20" t="inlineStr">
        <is>
          <t>Needs rules-engine encoding</t>
        </is>
      </c>
      <c r="K10" s="20" t="inlineStr">
        <is>
          <t>High</t>
        </is>
      </c>
      <c r="L10" s="20" t="inlineStr">
        <is>
          <t>Mechanics checked against the printed card; described in our own words.</t>
        </is>
      </c>
      <c r="M10" s="20" t="inlineStr">
        <is>
          <t>https://www.scribd.com/document/851089808/TheINWOBook</t>
        </is>
      </c>
      <c r="N10" t="inlineStr">
        <is>
          <t>Passive/activated</t>
        </is>
      </c>
      <c r="O10" t="inlineStr">
        <is>
          <t>Own structure / eligible attack</t>
        </is>
      </c>
      <c r="Q10" t="inlineStr">
        <is>
          <t>Game</t>
        </is>
      </c>
      <c r="R10" t="inlineStr">
        <is>
          <t>Power 6/6 twice. Two Illuminati actions each turn, not usable in the same attack; may hold up to three different Goal cards and win with any one.</t>
        </is>
      </c>
      <c r="S10" t="inlineStr">
        <is>
          <t>NO</t>
        </is>
      </c>
      <c r="T10" t="inlineStr">
        <is>
          <t>N/A</t>
        </is>
      </c>
      <c r="U10" t="n">
        <v>4</v>
      </c>
      <c r="V10" t="inlineStr">
        <is>
          <t>N/A — INWO uses Plots instead of group income/money</t>
        </is>
      </c>
      <c r="W10" t="inlineStr">
        <is>
          <t>Standard: 1 action token (Illuminati: 1 Illuminati action); verified mechanics state no override</t>
        </is>
      </c>
      <c r="X10" t="inlineStr">
        <is>
          <t>Several players may be factions of the same Illuminati (+5 vs. each other, cannot share victory); a spare copy can be played as an agent card (base rule)</t>
        </is>
      </c>
      <c r="Y10" t="inlineStr">
        <is>
          <t>None beyond base rules (verified mechanics state no override)</t>
        </is>
      </c>
      <c r="Z10" t="inlineStr">
        <is>
          <t>Standard response window (verified mechanics state no override)</t>
        </is>
      </c>
      <c r="AA10" t="inlineStr">
        <is>
          <t>Specific card overrides general rules</t>
        </is>
      </c>
      <c r="AB10" t="inlineStr">
        <is>
          <t>Indexed INWO Book, Illuminati section</t>
        </is>
      </c>
      <c r="AC10" t="inlineStr">
        <is>
          <t>FUNCTIONALLY COMPLETE</t>
        </is>
      </c>
      <c r="AE10" t="inlineStr">
        <is>
          <t>Indexed INWO Book / historical cross-check</t>
        </is>
      </c>
      <c r="AF10" t="inlineStr">
        <is>
          <t>4 outgoing arrows (standard Illuminati geometry)</t>
        </is>
      </c>
      <c r="AG10" t="inlineStr">
        <is>
          <t>Official rules</t>
        </is>
      </c>
      <c r="AH10" t="inlineStr">
        <is>
          <t>NONE</t>
        </is>
      </c>
      <c r="AI10" t="inlineStr">
        <is>
          <t>TOP, RIGHT, BOTTOM, LEFT</t>
        </is>
      </c>
      <c r="AJ10" t="inlineStr">
        <is>
          <t>VERIFIED</t>
        </is>
      </c>
      <c r="AK10" t="inlineStr">
        <is>
          <t>Official INWO rules: Illuminati have four outgoing control arrows — https://www.sjgames.com/inwo/rules/inwo-rules-12.pdf</t>
        </is>
      </c>
    </row>
    <row r="11" ht="34" customHeight="1" s="16">
      <c r="A11" s="20" t="inlineStr">
        <is>
          <t>Criminal Overlords</t>
        </is>
      </c>
      <c r="B11" s="20" t="inlineStr">
        <is>
          <t>Plot</t>
        </is>
      </c>
      <c r="C11" s="20" t="inlineStr">
        <is>
          <t>Goal</t>
        </is>
      </c>
      <c r="D11" s="20" t="inlineStr">
        <is>
          <t>Uncommon</t>
        </is>
      </c>
      <c r="E11" s="20" t="str"/>
      <c r="F11" s="20" t="str"/>
      <c r="G11" s="20" t="str"/>
      <c r="H11" s="20" t="str"/>
      <c r="I11" s="20" t="inlineStr">
        <is>
          <t>Goal. Every group you control that has BOTH the Violent and Criminal alignments is counted as two groups when totalling the number of groups you control for victory.</t>
        </is>
      </c>
      <c r="J11" s="20" t="inlineStr">
        <is>
          <t>Needs rules-engine encoding</t>
        </is>
      </c>
      <c r="K11" s="20" t="inlineStr">
        <is>
          <t>High</t>
        </is>
      </c>
      <c r="L11" s="20" t="inlineStr">
        <is>
          <t>Card does not say it cannot combine with other Goals (unlike the destroy/control Goals).</t>
        </is>
      </c>
      <c r="M11" s="20" t="inlineStr">
        <is>
          <t>https://github.com/Cha0smagick/Virtual-Illuminati-New-World-order-INWO-game</t>
        </is>
      </c>
      <c r="N11" t="inlineStr">
        <is>
          <t>Goal: checked continuously as an alternate victory condition while held</t>
        </is>
      </c>
      <c r="O11" t="inlineStr">
        <is>
          <t>Your controlled groups that are both Violent and Criminal</t>
        </is>
      </c>
      <c r="P11" t="inlineStr">
        <is>
          <t>None</t>
        </is>
      </c>
      <c r="Q11" t="inlineStr">
        <is>
          <t>Permanent while this Goal is held</t>
        </is>
      </c>
      <c r="R11" t="inlineStr">
        <is>
          <t>Controlled group with Violent AND Criminal counts 2 toward groups-controlled total</t>
        </is>
      </c>
      <c r="S11" t="inlineStr">
        <is>
          <t>NO</t>
        </is>
      </c>
      <c r="T11" t="inlineStr">
        <is>
          <t>N/A</t>
        </is>
      </c>
      <c r="U11" t="inlineStr">
        <is>
          <t>N/A</t>
        </is>
      </c>
      <c r="V11" t="inlineStr">
        <is>
          <t>N/A — INWO uses Plots instead of group income/money</t>
        </is>
      </c>
      <c r="W11" t="inlineStr">
        <is>
          <t>N/A</t>
        </is>
      </c>
      <c r="X11" t="inlineStr">
        <is>
          <t>No card-specific limit (base duplicate rules apply)</t>
        </is>
      </c>
      <c r="Y11" t="inlineStr">
        <is>
          <t>None beyond base rules</t>
        </is>
      </c>
      <c r="Z11" t="inlineStr">
        <is>
          <t>Standard response window</t>
        </is>
      </c>
      <c r="AA11" t="inlineStr">
        <is>
          <t>Specific card overrides general rules</t>
        </is>
      </c>
      <c r="AB11" t="inlineStr">
        <is>
          <t>Full card scan read; behaviour paraphrased (no card text copied)</t>
        </is>
      </c>
      <c r="AC11" t="inlineStr">
        <is>
          <t>FUNCTIONALLY COMPLETE</t>
        </is>
      </c>
      <c r="AD11" t="inlineStr">
        <is>
          <t>None</t>
        </is>
      </c>
      <c r="AE11" t="inlineStr">
        <is>
          <t>Card scan (GitHub: Cha0smagick/Virtual-Illuminati-New-World-order-INWO-game), read Sep 2026</t>
        </is>
      </c>
      <c r="AF11" t="inlineStr">
        <is>
          <t>N/A</t>
        </is>
      </c>
      <c r="AG11" t="inlineStr">
        <is>
          <t>N/A</t>
        </is>
      </c>
      <c r="AH11" t="inlineStr">
        <is>
          <t>N/A</t>
        </is>
      </c>
      <c r="AI11" t="inlineStr">
        <is>
          <t>N/A</t>
        </is>
      </c>
      <c r="AJ11" t="inlineStr">
        <is>
          <t>N/A</t>
        </is>
      </c>
      <c r="AK11" t="inlineStr">
        <is>
          <t>Official rules: non-Group card types do not use normal Group control-arrow geometry.</t>
        </is>
      </c>
    </row>
    <row r="12" ht="34" customHeight="1" s="16">
      <c r="A12" s="20" t="inlineStr">
        <is>
          <t>Fratricide</t>
        </is>
      </c>
      <c r="B12" s="20" t="inlineStr">
        <is>
          <t>Plot</t>
        </is>
      </c>
      <c r="C12" s="20" t="inlineStr">
        <is>
          <t>Goal</t>
        </is>
      </c>
      <c r="D12" s="20" t="inlineStr">
        <is>
          <t>Common</t>
        </is>
      </c>
      <c r="E12" s="20" t="str"/>
      <c r="F12" s="20" t="str"/>
      <c r="G12" s="20" t="str"/>
      <c r="H12" s="20" t="str"/>
      <c r="I12" s="20" t="inlineStr">
        <is>
          <t>Goal. You win by destroying two other players' Illuminati. An Illuminati is destroyed when its last puppet is removed; you get credit whether you remove it yourself or help another player do so, and any help counts (adding Power to the attack, playing a Plot, or using a special ability). This Goal cannot be combined with any other Goal.</t>
        </is>
      </c>
      <c r="J12" s="20" t="inlineStr">
        <is>
          <t>Needs rules-engine encoding</t>
        </is>
      </c>
      <c r="K12" s="20" t="inlineStr">
        <is>
          <t>High</t>
        </is>
      </c>
      <c r="L12" s="20" t="str"/>
      <c r="M12" s="20" t="inlineStr">
        <is>
          <t>https://github.com/Cha0smagick/Virtual-Illuminati-New-World-order-INWO-game</t>
        </is>
      </c>
      <c r="N12" t="inlineStr">
        <is>
          <t>Goal: checked continuously as an alternate victory condition while held</t>
        </is>
      </c>
      <c r="O12" t="inlineStr">
        <is>
          <t>Two rival Illuminati</t>
        </is>
      </c>
      <c r="P12" t="inlineStr">
        <is>
          <t>None</t>
        </is>
      </c>
      <c r="Q12" t="inlineStr">
        <is>
          <t>Permanent while this Goal is held</t>
        </is>
      </c>
      <c r="R12" t="inlineStr">
        <is>
          <t>Victory when credited with destroying 2 other Illuminati (removal of their last puppet; any assistance qualifies)</t>
        </is>
      </c>
      <c r="S12" t="inlineStr">
        <is>
          <t>NO</t>
        </is>
      </c>
      <c r="T12" t="inlineStr">
        <is>
          <t>N/A</t>
        </is>
      </c>
      <c r="U12" t="inlineStr">
        <is>
          <t>N/A</t>
        </is>
      </c>
      <c r="V12" t="inlineStr">
        <is>
          <t>N/A — INWO uses Plots instead of group income/money</t>
        </is>
      </c>
      <c r="W12" t="inlineStr">
        <is>
          <t>N/A</t>
        </is>
      </c>
      <c r="X12" t="inlineStr">
        <is>
          <t>Cannot be combined with other Goals in any way</t>
        </is>
      </c>
      <c r="Y12" t="inlineStr">
        <is>
          <t>None beyond base rules</t>
        </is>
      </c>
      <c r="Z12" t="inlineStr">
        <is>
          <t>Standard response window</t>
        </is>
      </c>
      <c r="AA12" t="inlineStr">
        <is>
          <t>Specific card overrides general rules</t>
        </is>
      </c>
      <c r="AB12" t="inlineStr">
        <is>
          <t>Full card scan read; behaviour paraphrased (no card text copied)</t>
        </is>
      </c>
      <c r="AC12" t="inlineStr">
        <is>
          <t>FUNCTIONALLY COMPLETE</t>
        </is>
      </c>
      <c r="AD12" t="inlineStr">
        <is>
          <t>None</t>
        </is>
      </c>
      <c r="AE12" t="inlineStr">
        <is>
          <t>Card scan (GitHub: Cha0smagick/Virtual-Illuminati-New-World-order-INWO-game), read Sep 2026</t>
        </is>
      </c>
      <c r="AF12" t="inlineStr">
        <is>
          <t>N/A</t>
        </is>
      </c>
      <c r="AG12" t="inlineStr">
        <is>
          <t>N/A</t>
        </is>
      </c>
      <c r="AH12" t="inlineStr">
        <is>
          <t>N/A</t>
        </is>
      </c>
      <c r="AI12" t="inlineStr">
        <is>
          <t>N/A</t>
        </is>
      </c>
      <c r="AJ12" t="inlineStr">
        <is>
          <t>N/A</t>
        </is>
      </c>
      <c r="AK12" t="inlineStr">
        <is>
          <t>Official rules: non-Group card types do not use normal Group control-arrow geometry.</t>
        </is>
      </c>
    </row>
    <row r="13" ht="34" customHeight="1" s="16">
      <c r="A13" s="20" t="inlineStr">
        <is>
          <t>Hail Eris</t>
        </is>
      </c>
      <c r="B13" s="20" t="inlineStr">
        <is>
          <t>Plot</t>
        </is>
      </c>
      <c r="C13" s="20" t="inlineStr">
        <is>
          <t>Goal</t>
        </is>
      </c>
      <c r="D13" s="20" t="inlineStr">
        <is>
          <t>Common</t>
        </is>
      </c>
      <c r="E13" s="20" t="str"/>
      <c r="F13" s="20" t="str"/>
      <c r="G13" s="20" t="str"/>
      <c r="H13" s="20" t="str"/>
      <c r="I13" s="20" t="inlineStr">
        <is>
          <t>Goal. Each Weird group you control with a Power of 3 or higher counts as two groups toward your total number of groups controlled.</t>
        </is>
      </c>
      <c r="J13" s="20" t="inlineStr">
        <is>
          <t>Needs rules-engine encoding</t>
        </is>
      </c>
      <c r="K13" s="20" t="inlineStr">
        <is>
          <t>High</t>
        </is>
      </c>
      <c r="L13" s="20" t="inlineStr">
        <is>
          <t>Printed card title is 'Hail Eris!'. Presumably current (modified) Power is checked.</t>
        </is>
      </c>
      <c r="M13" s="20" t="inlineStr">
        <is>
          <t>https://github.com/Cha0smagick/Virtual-Illuminati-New-World-order-INWO-game</t>
        </is>
      </c>
      <c r="N13" t="inlineStr">
        <is>
          <t>Goal: checked continuously as an alternate victory condition while held</t>
        </is>
      </c>
      <c r="O13" t="inlineStr">
        <is>
          <t>Your controlled Weird groups with Power &gt;= 3</t>
        </is>
      </c>
      <c r="P13" t="inlineStr">
        <is>
          <t>None</t>
        </is>
      </c>
      <c r="Q13" t="inlineStr">
        <is>
          <t>Permanent while this Goal is held</t>
        </is>
      </c>
      <c r="R13" t="inlineStr">
        <is>
          <t>Controlled Weird group with Power &gt;= 3 counts 2 toward groups-controlled total</t>
        </is>
      </c>
      <c r="S13" t="inlineStr">
        <is>
          <t>NO</t>
        </is>
      </c>
      <c r="T13" t="inlineStr">
        <is>
          <t>N/A</t>
        </is>
      </c>
      <c r="U13" t="inlineStr">
        <is>
          <t>N/A</t>
        </is>
      </c>
      <c r="V13" t="inlineStr">
        <is>
          <t>N/A — INWO uses Plots instead of group income/money</t>
        </is>
      </c>
      <c r="W13" t="inlineStr">
        <is>
          <t>N/A</t>
        </is>
      </c>
      <c r="X13" t="inlineStr">
        <is>
          <t>No card-specific limit (base duplicate rules apply)</t>
        </is>
      </c>
      <c r="Y13" t="inlineStr">
        <is>
          <t>None beyond base rules</t>
        </is>
      </c>
      <c r="Z13" t="inlineStr">
        <is>
          <t>Standard response window</t>
        </is>
      </c>
      <c r="AA13" t="inlineStr">
        <is>
          <t>Specific card overrides general rules</t>
        </is>
      </c>
      <c r="AB13" t="inlineStr">
        <is>
          <t>Full card scan read; behaviour paraphrased (no card text copied)</t>
        </is>
      </c>
      <c r="AC13" t="inlineStr">
        <is>
          <t>FUNCTIONALLY COMPLETE</t>
        </is>
      </c>
      <c r="AD13" t="inlineStr">
        <is>
          <t>None</t>
        </is>
      </c>
      <c r="AE13" t="inlineStr">
        <is>
          <t>Card scan (GitHub: Cha0smagick/Virtual-Illuminati-New-World-order-INWO-game), read Sep 2026</t>
        </is>
      </c>
      <c r="AF13" t="inlineStr">
        <is>
          <t>N/A</t>
        </is>
      </c>
      <c r="AG13" t="inlineStr">
        <is>
          <t>N/A</t>
        </is>
      </c>
      <c r="AH13" t="inlineStr">
        <is>
          <t>N/A</t>
        </is>
      </c>
      <c r="AI13" t="inlineStr">
        <is>
          <t>N/A</t>
        </is>
      </c>
      <c r="AJ13" t="inlineStr">
        <is>
          <t>N/A</t>
        </is>
      </c>
      <c r="AK13" t="inlineStr">
        <is>
          <t>Official rules: non-Group card types do not use normal Group control-arrow geometry.</t>
        </is>
      </c>
    </row>
    <row r="14" ht="34" customHeight="1" s="16">
      <c r="A14" s="20" t="inlineStr">
        <is>
          <t>Kill for Peace</t>
        </is>
      </c>
      <c r="B14" s="20" t="inlineStr">
        <is>
          <t>Plot</t>
        </is>
      </c>
      <c r="C14" s="20" t="inlineStr">
        <is>
          <t>Goal</t>
        </is>
      </c>
      <c r="D14" s="20" t="inlineStr">
        <is>
          <t>Rare</t>
        </is>
      </c>
      <c r="E14" s="20" t="str"/>
      <c r="F14" s="20" t="str"/>
      <c r="G14" s="20" t="str"/>
      <c r="H14" s="20" t="str"/>
      <c r="I14" s="20" t="inlineStr">
        <is>
          <t>Goal. Win by having destroyed Violent groups and controlling Peaceful groups in any one of these combinations: destroy 2 Violent + control 6 Peaceful; destroy 3 + control 5; destroy 4 + control 4; destroy 5 + control 3; destroy 6 + control 1. This Goal cannot be combined with any other Goal.</t>
        </is>
      </c>
      <c r="J14" s="20" t="inlineStr">
        <is>
          <t>Needs rules-engine encoding</t>
        </is>
      </c>
      <c r="K14" s="20" t="inlineStr">
        <is>
          <t>High</t>
        </is>
      </c>
      <c r="L14" s="20" t="inlineStr">
        <is>
          <t>Printed table skips a 'control 2' step: destroying 6 requires only 1 controlled.</t>
        </is>
      </c>
      <c r="M14" s="20" t="inlineStr">
        <is>
          <t>https://github.com/Cha0smagick/Virtual-Illuminati-New-World-order-INWO-game</t>
        </is>
      </c>
      <c r="N14" t="inlineStr">
        <is>
          <t>Goal: checked continuously as an alternate victory condition while held</t>
        </is>
      </c>
      <c r="O14" t="inlineStr">
        <is>
          <t>Violent groups (destroyed) and Peaceful groups (controlled)</t>
        </is>
      </c>
      <c r="P14" t="inlineStr">
        <is>
          <t>None</t>
        </is>
      </c>
      <c r="Q14" t="inlineStr">
        <is>
          <t>Permanent while this Goal is held</t>
        </is>
      </c>
      <c r="R14" t="inlineStr">
        <is>
          <t>Win if (destroyed Violent, controlled Peaceful) meets any of: (2,6),(3,5),(4,4),(5,3),(6,1)</t>
        </is>
      </c>
      <c r="S14" t="inlineStr">
        <is>
          <t>NO</t>
        </is>
      </c>
      <c r="T14" t="inlineStr">
        <is>
          <t>N/A</t>
        </is>
      </c>
      <c r="U14" t="inlineStr">
        <is>
          <t>N/A</t>
        </is>
      </c>
      <c r="V14" t="inlineStr">
        <is>
          <t>N/A — INWO uses Plots instead of group income/money</t>
        </is>
      </c>
      <c r="W14" t="inlineStr">
        <is>
          <t>N/A</t>
        </is>
      </c>
      <c r="X14" t="inlineStr">
        <is>
          <t>Cannot be combined with other Goals in any way</t>
        </is>
      </c>
      <c r="Y14" t="inlineStr">
        <is>
          <t>None beyond base rules</t>
        </is>
      </c>
      <c r="Z14" t="inlineStr">
        <is>
          <t>Standard response window</t>
        </is>
      </c>
      <c r="AA14" t="inlineStr">
        <is>
          <t>Specific card overrides general rules</t>
        </is>
      </c>
      <c r="AB14" t="inlineStr">
        <is>
          <t>Full card scan read; behaviour paraphrased (no card text copied)</t>
        </is>
      </c>
      <c r="AC14" t="inlineStr">
        <is>
          <t>FUNCTIONALLY COMPLETE</t>
        </is>
      </c>
      <c r="AD14" t="inlineStr">
        <is>
          <t>None</t>
        </is>
      </c>
      <c r="AE14" t="inlineStr">
        <is>
          <t>Card scan (GitHub: Cha0smagick/Virtual-Illuminati-New-World-order-INWO-game), read Sep 2026</t>
        </is>
      </c>
      <c r="AF14" t="inlineStr">
        <is>
          <t>N/A</t>
        </is>
      </c>
      <c r="AG14" t="inlineStr">
        <is>
          <t>N/A</t>
        </is>
      </c>
      <c r="AH14" t="inlineStr">
        <is>
          <t>N/A</t>
        </is>
      </c>
      <c r="AI14" t="inlineStr">
        <is>
          <t>N/A</t>
        </is>
      </c>
      <c r="AJ14" t="inlineStr">
        <is>
          <t>N/A</t>
        </is>
      </c>
      <c r="AK14" t="inlineStr">
        <is>
          <t>Official rules: non-Group card types do not use normal Group control-arrow geometry.</t>
        </is>
      </c>
    </row>
    <row r="15" ht="34" customHeight="1" s="16">
      <c r="A15" s="20" t="inlineStr">
        <is>
          <t>Let Them Eat Cake</t>
        </is>
      </c>
      <c r="B15" s="20" t="inlineStr">
        <is>
          <t>Plot</t>
        </is>
      </c>
      <c r="C15" s="20" t="inlineStr">
        <is>
          <t>Goal</t>
        </is>
      </c>
      <c r="D15" s="20" t="inlineStr">
        <is>
          <t>Uncommon</t>
        </is>
      </c>
      <c r="E15" s="20" t="str"/>
      <c r="F15" s="20" t="str"/>
      <c r="G15" s="20" t="str"/>
      <c r="H15" s="20" t="str"/>
      <c r="I15" s="20" t="inlineStr">
        <is>
          <t>Goal. Win by having destroyed Liberal groups and controlling Conservative groups in any one of these combinations: destroy 2 Liberal + control 6 Conservative; destroy 3 + control 5; destroy 4 + control 4; destroy 5 + control 3; destroy 6 + control 1. This Goal cannot be combined with any other Goal.</t>
        </is>
      </c>
      <c r="J15" s="20" t="inlineStr">
        <is>
          <t>Needs rules-engine encoding</t>
        </is>
      </c>
      <c r="K15" s="20" t="inlineStr">
        <is>
          <t>High</t>
        </is>
      </c>
      <c r="L15" s="20" t="inlineStr">
        <is>
          <t>Printed table skips a 'control 2' step: destroying 6 requires only 1 controlled. Printed card title is 'Let Them Eat Cake!'.</t>
        </is>
      </c>
      <c r="M15" s="20" t="inlineStr">
        <is>
          <t>https://github.com/Cha0smagick/Virtual-Illuminati-New-World-order-INWO-game</t>
        </is>
      </c>
      <c r="N15" t="inlineStr">
        <is>
          <t>Goal: checked continuously as an alternate victory condition while held</t>
        </is>
      </c>
      <c r="O15" t="inlineStr">
        <is>
          <t>Liberal groups (destroyed) and Conservative groups (controlled)</t>
        </is>
      </c>
      <c r="P15" t="inlineStr">
        <is>
          <t>None</t>
        </is>
      </c>
      <c r="Q15" t="inlineStr">
        <is>
          <t>Permanent while this Goal is held</t>
        </is>
      </c>
      <c r="R15" t="inlineStr">
        <is>
          <t>Win if (destroyed Liberal, controlled Conservative) meets any of: (2,6),(3,5),(4,4),(5,3),(6,1)</t>
        </is>
      </c>
      <c r="S15" t="inlineStr">
        <is>
          <t>NO</t>
        </is>
      </c>
      <c r="T15" t="inlineStr">
        <is>
          <t>N/A</t>
        </is>
      </c>
      <c r="U15" t="inlineStr">
        <is>
          <t>N/A</t>
        </is>
      </c>
      <c r="V15" t="inlineStr">
        <is>
          <t>N/A — INWO uses Plots instead of group income/money</t>
        </is>
      </c>
      <c r="W15" t="inlineStr">
        <is>
          <t>N/A</t>
        </is>
      </c>
      <c r="X15" t="inlineStr">
        <is>
          <t>Cannot be combined with other Goals in any way</t>
        </is>
      </c>
      <c r="Y15" t="inlineStr">
        <is>
          <t>None beyond base rules</t>
        </is>
      </c>
      <c r="Z15" t="inlineStr">
        <is>
          <t>Standard response window</t>
        </is>
      </c>
      <c r="AA15" t="inlineStr">
        <is>
          <t>Specific card overrides general rules</t>
        </is>
      </c>
      <c r="AB15" t="inlineStr">
        <is>
          <t>Full card scan read; behaviour paraphrased (no card text copied)</t>
        </is>
      </c>
      <c r="AC15" t="inlineStr">
        <is>
          <t>FUNCTIONALLY COMPLETE</t>
        </is>
      </c>
      <c r="AD15" t="inlineStr">
        <is>
          <t>None</t>
        </is>
      </c>
      <c r="AE15" t="inlineStr">
        <is>
          <t>Card scan (GitHub: Cha0smagick/Virtual-Illuminati-New-World-order-INWO-game), read Sep 2026</t>
        </is>
      </c>
      <c r="AF15" t="inlineStr">
        <is>
          <t>N/A</t>
        </is>
      </c>
      <c r="AG15" t="inlineStr">
        <is>
          <t>N/A</t>
        </is>
      </c>
      <c r="AH15" t="inlineStr">
        <is>
          <t>N/A</t>
        </is>
      </c>
      <c r="AI15" t="inlineStr">
        <is>
          <t>N/A</t>
        </is>
      </c>
      <c r="AJ15" t="inlineStr">
        <is>
          <t>N/A</t>
        </is>
      </c>
      <c r="AK15" t="inlineStr">
        <is>
          <t>Official rules: non-Group card types do not use normal Group control-arrow geometry.</t>
        </is>
      </c>
    </row>
    <row r="16" ht="34" customHeight="1" s="16">
      <c r="A16" s="20" t="inlineStr">
        <is>
          <t>Power for its Own Sake</t>
        </is>
      </c>
      <c r="B16" s="20" t="inlineStr">
        <is>
          <t>Plot</t>
        </is>
      </c>
      <c r="C16" s="20" t="inlineStr">
        <is>
          <t>Goal</t>
        </is>
      </c>
      <c r="D16" s="20" t="inlineStr">
        <is>
          <t>Rare</t>
        </is>
      </c>
      <c r="E16" s="20" t="str"/>
      <c r="F16" s="20" t="str"/>
      <c r="G16" s="20" t="str"/>
      <c r="H16" s="20" t="str"/>
      <c r="I16" s="20" t="inlineStr">
        <is>
          <t>Goal. Win by controlling groups whose combined Power totals 50, with your Illuminati's Power included in the total.</t>
        </is>
      </c>
      <c r="J16" s="20" t="inlineStr">
        <is>
          <t>Needs rules-engine encoding</t>
        </is>
      </c>
      <c r="K16" s="20" t="inlineStr">
        <is>
          <t>High</t>
        </is>
      </c>
      <c r="L16" s="20" t="inlineStr">
        <is>
          <t>Card says 'a total Power of 50'; treated as 50 or more. Unclear from the card whether Global Power (after the slash) counts; presumably only main Power.</t>
        </is>
      </c>
      <c r="M16" s="20" t="inlineStr">
        <is>
          <t>https://github.com/Cha0smagick/Virtual-Illuminati-New-World-order-INWO-game</t>
        </is>
      </c>
      <c r="N16" t="inlineStr">
        <is>
          <t>Goal: checked continuously as an alternate victory condition while held</t>
        </is>
      </c>
      <c r="O16" t="inlineStr">
        <is>
          <t>All groups in your Power Structure including your Illuminati</t>
        </is>
      </c>
      <c r="P16" t="inlineStr">
        <is>
          <t>None</t>
        </is>
      </c>
      <c r="Q16" t="inlineStr">
        <is>
          <t>Permanent while this Goal is held</t>
        </is>
      </c>
      <c r="R16" t="inlineStr">
        <is>
          <t>Win if sum of Power of controlled groups (incl. Illuminati) &gt;= 50</t>
        </is>
      </c>
      <c r="S16" t="inlineStr">
        <is>
          <t>NO</t>
        </is>
      </c>
      <c r="T16" t="inlineStr">
        <is>
          <t>N/A</t>
        </is>
      </c>
      <c r="U16" t="inlineStr">
        <is>
          <t>N/A</t>
        </is>
      </c>
      <c r="V16" t="inlineStr">
        <is>
          <t>N/A — INWO uses Plots instead of group income/money</t>
        </is>
      </c>
      <c r="W16" t="inlineStr">
        <is>
          <t>N/A</t>
        </is>
      </c>
      <c r="X16" t="inlineStr">
        <is>
          <t>No card-specific limit (base duplicate rules apply)</t>
        </is>
      </c>
      <c r="Y16" t="inlineStr">
        <is>
          <t>None beyond base rules</t>
        </is>
      </c>
      <c r="Z16" t="inlineStr">
        <is>
          <t>Standard response window</t>
        </is>
      </c>
      <c r="AA16" t="inlineStr">
        <is>
          <t>Specific card overrides general rules</t>
        </is>
      </c>
      <c r="AB16" t="inlineStr">
        <is>
          <t>Full card scan read; behaviour paraphrased (no card text copied)</t>
        </is>
      </c>
      <c r="AC16" t="inlineStr">
        <is>
          <t>FUNCTIONALLY COMPLETE</t>
        </is>
      </c>
      <c r="AD16" t="inlineStr">
        <is>
          <t>None</t>
        </is>
      </c>
      <c r="AE16" t="inlineStr">
        <is>
          <t>Card scan (GitHub: Cha0smagick/Virtual-Illuminati-New-World-order-INWO-game), read Sep 2026</t>
        </is>
      </c>
      <c r="AF16" t="inlineStr">
        <is>
          <t>N/A</t>
        </is>
      </c>
      <c r="AG16" t="inlineStr">
        <is>
          <t>N/A</t>
        </is>
      </c>
      <c r="AH16" t="inlineStr">
        <is>
          <t>N/A</t>
        </is>
      </c>
      <c r="AI16" t="inlineStr">
        <is>
          <t>N/A</t>
        </is>
      </c>
      <c r="AJ16" t="inlineStr">
        <is>
          <t>N/A</t>
        </is>
      </c>
      <c r="AK16" t="inlineStr">
        <is>
          <t>Official rules: non-Group card types do not use normal Group control-arrow geometry.</t>
        </is>
      </c>
    </row>
    <row r="17" ht="34" customHeight="1" s="16">
      <c r="A17" s="20" t="inlineStr">
        <is>
          <t>Power to the People</t>
        </is>
      </c>
      <c r="B17" s="20" t="inlineStr">
        <is>
          <t>Plot</t>
        </is>
      </c>
      <c r="C17" s="20" t="inlineStr">
        <is>
          <t>Goal</t>
        </is>
      </c>
      <c r="D17" s="20" t="inlineStr">
        <is>
          <t>Uncommon</t>
        </is>
      </c>
      <c r="E17" s="20" t="str"/>
      <c r="F17" s="20" t="str"/>
      <c r="G17" s="20" t="str"/>
      <c r="H17" s="20" t="str"/>
      <c r="I17" s="20" t="inlineStr">
        <is>
          <t>Goal. Win by having destroyed Conservative groups and controlling Liberal groups in any one of these combinations: destroy 2 Conservative + control 6 Liberal; destroy 3 + control 5; destroy 4 + control 4; destroy 5 + control 3; destroy 6 + control 1. This Goal cannot be combined with any other Goal.</t>
        </is>
      </c>
      <c r="J17" s="20" t="inlineStr">
        <is>
          <t>Needs rules-engine encoding</t>
        </is>
      </c>
      <c r="K17" s="20" t="inlineStr">
        <is>
          <t>High</t>
        </is>
      </c>
      <c r="L17" s="20" t="inlineStr">
        <is>
          <t>Printed table skips a 'control 2' step: destroying 6 requires only 1 controlled.</t>
        </is>
      </c>
      <c r="M17" s="20" t="inlineStr">
        <is>
          <t>https://github.com/Cha0smagick/Virtual-Illuminati-New-World-order-INWO-game</t>
        </is>
      </c>
      <c r="N17" t="inlineStr">
        <is>
          <t>Goal: checked continuously as an alternate victory condition while held</t>
        </is>
      </c>
      <c r="O17" t="inlineStr">
        <is>
          <t>Conservative groups (destroyed) and Liberal groups (controlled)</t>
        </is>
      </c>
      <c r="P17" t="inlineStr">
        <is>
          <t>None</t>
        </is>
      </c>
      <c r="Q17" t="inlineStr">
        <is>
          <t>Permanent while this Goal is held</t>
        </is>
      </c>
      <c r="R17" t="inlineStr">
        <is>
          <t>Win if (destroyed Conservative, controlled Liberal) meets any of: (2,6),(3,5),(4,4),(5,3),(6,1)</t>
        </is>
      </c>
      <c r="S17" t="inlineStr">
        <is>
          <t>NO</t>
        </is>
      </c>
      <c r="T17" t="inlineStr">
        <is>
          <t>N/A</t>
        </is>
      </c>
      <c r="U17" t="inlineStr">
        <is>
          <t>N/A</t>
        </is>
      </c>
      <c r="V17" t="inlineStr">
        <is>
          <t>N/A — INWO uses Plots instead of group income/money</t>
        </is>
      </c>
      <c r="W17" t="inlineStr">
        <is>
          <t>N/A</t>
        </is>
      </c>
      <c r="X17" t="inlineStr">
        <is>
          <t>Cannot be combined with other Goals in any way</t>
        </is>
      </c>
      <c r="Y17" t="inlineStr">
        <is>
          <t>None beyond base rules</t>
        </is>
      </c>
      <c r="Z17" t="inlineStr">
        <is>
          <t>Standard response window</t>
        </is>
      </c>
      <c r="AA17" t="inlineStr">
        <is>
          <t>Specific card overrides general rules</t>
        </is>
      </c>
      <c r="AB17" t="inlineStr">
        <is>
          <t>Full card scan read; behaviour paraphrased (no card text copied)</t>
        </is>
      </c>
      <c r="AC17" t="inlineStr">
        <is>
          <t>FUNCTIONALLY COMPLETE</t>
        </is>
      </c>
      <c r="AD17" t="inlineStr">
        <is>
          <t>None</t>
        </is>
      </c>
      <c r="AE17" t="inlineStr">
        <is>
          <t>Card scan (GitHub: Cha0smagick/Virtual-Illuminati-New-World-order-INWO-game), read Sep 2026</t>
        </is>
      </c>
      <c r="AF17" t="inlineStr">
        <is>
          <t>N/A</t>
        </is>
      </c>
      <c r="AG17" t="inlineStr">
        <is>
          <t>N/A</t>
        </is>
      </c>
      <c r="AH17" t="inlineStr">
        <is>
          <t>N/A</t>
        </is>
      </c>
      <c r="AI17" t="inlineStr">
        <is>
          <t>N/A</t>
        </is>
      </c>
      <c r="AJ17" t="inlineStr">
        <is>
          <t>N/A</t>
        </is>
      </c>
      <c r="AK17" t="inlineStr">
        <is>
          <t>Official rules: non-Group card types do not use normal Group control-arrow geometry.</t>
        </is>
      </c>
    </row>
    <row r="18" ht="34" customHeight="1" s="16">
      <c r="A18" s="20" t="inlineStr">
        <is>
          <t>The Corporate Masters</t>
        </is>
      </c>
      <c r="B18" s="20" t="inlineStr">
        <is>
          <t>Plot</t>
        </is>
      </c>
      <c r="C18" s="20" t="inlineStr">
        <is>
          <t>Goal</t>
        </is>
      </c>
      <c r="D18" s="20" t="inlineStr">
        <is>
          <t>Common</t>
        </is>
      </c>
      <c r="E18" s="20" t="str"/>
      <c r="F18" s="20" t="str"/>
      <c r="G18" s="20" t="str"/>
      <c r="H18" s="20" t="str"/>
      <c r="I18" s="20" t="inlineStr">
        <is>
          <t>Goal. Each Corporate group you control with a Power of 4 or higher counts as two groups toward your total number of groups controlled.</t>
        </is>
      </c>
      <c r="J18" s="20" t="inlineStr">
        <is>
          <t>Needs rules-engine encoding</t>
        </is>
      </c>
      <c r="K18" s="20" t="inlineStr">
        <is>
          <t>High</t>
        </is>
      </c>
      <c r="L18" s="20" t="str"/>
      <c r="M18" s="20" t="inlineStr">
        <is>
          <t>https://github.com/Cha0smagick/Virtual-Illuminati-New-World-order-INWO-game</t>
        </is>
      </c>
      <c r="N18" t="inlineStr">
        <is>
          <t>Goal: checked continuously as an alternate victory condition while held</t>
        </is>
      </c>
      <c r="O18" t="inlineStr">
        <is>
          <t>Your controlled Corporate groups with Power &gt;= 4</t>
        </is>
      </c>
      <c r="P18" t="inlineStr">
        <is>
          <t>None</t>
        </is>
      </c>
      <c r="Q18" t="inlineStr">
        <is>
          <t>Permanent while this Goal is held</t>
        </is>
      </c>
      <c r="R18" t="inlineStr">
        <is>
          <t>Controlled Corporate group with Power &gt;= 4 counts 2 toward groups-controlled total</t>
        </is>
      </c>
      <c r="S18" t="inlineStr">
        <is>
          <t>NO</t>
        </is>
      </c>
      <c r="T18" t="inlineStr">
        <is>
          <t>N/A</t>
        </is>
      </c>
      <c r="U18" t="inlineStr">
        <is>
          <t>N/A</t>
        </is>
      </c>
      <c r="V18" t="inlineStr">
        <is>
          <t>N/A — INWO uses Plots instead of group income/money</t>
        </is>
      </c>
      <c r="W18" t="inlineStr">
        <is>
          <t>N/A</t>
        </is>
      </c>
      <c r="X18" t="inlineStr">
        <is>
          <t>No card-specific limit (base duplicate rules apply)</t>
        </is>
      </c>
      <c r="Y18" t="inlineStr">
        <is>
          <t>None beyond base rules</t>
        </is>
      </c>
      <c r="Z18" t="inlineStr">
        <is>
          <t>Standard response window</t>
        </is>
      </c>
      <c r="AA18" t="inlineStr">
        <is>
          <t>Specific card overrides general rules</t>
        </is>
      </c>
      <c r="AB18" t="inlineStr">
        <is>
          <t>Full card scan read; behaviour paraphrased (no card text copied)</t>
        </is>
      </c>
      <c r="AC18" t="inlineStr">
        <is>
          <t>FUNCTIONALLY COMPLETE</t>
        </is>
      </c>
      <c r="AD18" t="inlineStr">
        <is>
          <t>None</t>
        </is>
      </c>
      <c r="AE18" t="inlineStr">
        <is>
          <t>Card scan (GitHub: Cha0smagick/Virtual-Illuminati-New-World-order-INWO-game), read Sep 2026</t>
        </is>
      </c>
      <c r="AF18" t="inlineStr">
        <is>
          <t>N/A</t>
        </is>
      </c>
      <c r="AG18" t="inlineStr">
        <is>
          <t>N/A</t>
        </is>
      </c>
      <c r="AH18" t="inlineStr">
        <is>
          <t>N/A</t>
        </is>
      </c>
      <c r="AI18" t="inlineStr">
        <is>
          <t>N/A</t>
        </is>
      </c>
      <c r="AJ18" t="inlineStr">
        <is>
          <t>N/A</t>
        </is>
      </c>
      <c r="AK18" t="inlineStr">
        <is>
          <t>Official rules: non-Group card types do not use normal Group control-arrow geometry.</t>
        </is>
      </c>
    </row>
    <row r="19" ht="34" customHeight="1" s="16">
      <c r="A19" s="20" t="inlineStr">
        <is>
          <t>The Hand of Madness</t>
        </is>
      </c>
      <c r="B19" s="20" t="inlineStr">
        <is>
          <t>Plot</t>
        </is>
      </c>
      <c r="C19" s="20" t="inlineStr">
        <is>
          <t>Goal</t>
        </is>
      </c>
      <c r="D19" s="20" t="inlineStr">
        <is>
          <t>Common</t>
        </is>
      </c>
      <c r="E19" s="20" t="str"/>
      <c r="F19" s="20" t="str"/>
      <c r="G19" s="20" t="str"/>
      <c r="H19" s="20" t="str"/>
      <c r="I19" s="20" t="inlineStr">
        <is>
          <t>Goal. Win by having destroyed Peaceful groups and controlling Violent groups in any one of these combinations: destroy 2 Peaceful + control 6 Violent; destroy 3 + control 5; destroy 4 + control 4; destroy 5 + control 3; destroy 6 + control 1. This Goal cannot be combined with any other Goal.</t>
        </is>
      </c>
      <c r="J19" s="20" t="inlineStr">
        <is>
          <t>Needs rules-engine encoding</t>
        </is>
      </c>
      <c r="K19" s="20" t="inlineStr">
        <is>
          <t>High</t>
        </is>
      </c>
      <c r="L19" s="20" t="inlineStr">
        <is>
          <t>Printed table skips a 'control 2' step: destroying 6 requires only 1 controlled.</t>
        </is>
      </c>
      <c r="M19" s="20" t="inlineStr">
        <is>
          <t>https://github.com/Cha0smagick/Virtual-Illuminati-New-World-order-INWO-game</t>
        </is>
      </c>
      <c r="N19" t="inlineStr">
        <is>
          <t>Goal: checked continuously as an alternate victory condition while held</t>
        </is>
      </c>
      <c r="O19" t="inlineStr">
        <is>
          <t>Peaceful groups (destroyed) and Violent groups (controlled)</t>
        </is>
      </c>
      <c r="P19" t="inlineStr">
        <is>
          <t>None</t>
        </is>
      </c>
      <c r="Q19" t="inlineStr">
        <is>
          <t>Permanent while this Goal is held</t>
        </is>
      </c>
      <c r="R19" t="inlineStr">
        <is>
          <t>Win if (destroyed Peaceful, controlled Violent) meets any of: (2,6),(3,5),(4,4),(5,3),(6,1)</t>
        </is>
      </c>
      <c r="S19" t="inlineStr">
        <is>
          <t>NO</t>
        </is>
      </c>
      <c r="T19" t="inlineStr">
        <is>
          <t>N/A</t>
        </is>
      </c>
      <c r="U19" t="inlineStr">
        <is>
          <t>N/A</t>
        </is>
      </c>
      <c r="V19" t="inlineStr">
        <is>
          <t>N/A — INWO uses Plots instead of group income/money</t>
        </is>
      </c>
      <c r="W19" t="inlineStr">
        <is>
          <t>N/A</t>
        </is>
      </c>
      <c r="X19" t="inlineStr">
        <is>
          <t>Cannot be combined with other Goals in any way</t>
        </is>
      </c>
      <c r="Y19" t="inlineStr">
        <is>
          <t>None beyond base rules</t>
        </is>
      </c>
      <c r="Z19" t="inlineStr">
        <is>
          <t>Standard response window</t>
        </is>
      </c>
      <c r="AA19" t="inlineStr">
        <is>
          <t>Specific card overrides general rules</t>
        </is>
      </c>
      <c r="AB19" t="inlineStr">
        <is>
          <t>Full card scan read; behaviour paraphrased (no card text copied)</t>
        </is>
      </c>
      <c r="AC19" t="inlineStr">
        <is>
          <t>FUNCTIONALLY COMPLETE</t>
        </is>
      </c>
      <c r="AD19" t="inlineStr">
        <is>
          <t>None</t>
        </is>
      </c>
      <c r="AE19" t="inlineStr">
        <is>
          <t>Card scan (GitHub: Cha0smagick/Virtual-Illuminati-New-World-order-INWO-game), read Sep 2026</t>
        </is>
      </c>
      <c r="AF19" t="inlineStr">
        <is>
          <t>N/A</t>
        </is>
      </c>
      <c r="AG19" t="inlineStr">
        <is>
          <t>N/A</t>
        </is>
      </c>
      <c r="AH19" t="inlineStr">
        <is>
          <t>N/A</t>
        </is>
      </c>
      <c r="AI19" t="inlineStr">
        <is>
          <t>N/A</t>
        </is>
      </c>
      <c r="AJ19" t="inlineStr">
        <is>
          <t>N/A</t>
        </is>
      </c>
      <c r="AK19" t="inlineStr">
        <is>
          <t>Official rules: non-Group card types do not use normal Group control-arrow geometry.</t>
        </is>
      </c>
    </row>
    <row r="20" ht="34" customHeight="1" s="16">
      <c r="A20" s="20" t="inlineStr">
        <is>
          <t>Up Against The Wall</t>
        </is>
      </c>
      <c r="B20" s="20" t="inlineStr">
        <is>
          <t>Plot</t>
        </is>
      </c>
      <c r="C20" s="20" t="inlineStr">
        <is>
          <t>Goal</t>
        </is>
      </c>
      <c r="D20" s="20" t="inlineStr">
        <is>
          <t>Rare</t>
        </is>
      </c>
      <c r="E20" s="20" t="str"/>
      <c r="F20" s="20" t="str"/>
      <c r="G20" s="20" t="str"/>
      <c r="H20" s="20" t="str"/>
      <c r="I20" s="20" t="inlineStr">
        <is>
          <t>Goal. Win by having destroyed Government groups and controlling Violent groups in any one of these combinations: destroy 2 Government + control 6 Violent; destroy 3 + control 5; destroy 4 + control 4; destroy 5 + control 3; destroy 6 + control 1. This Goal cannot be combined with any other Goal.</t>
        </is>
      </c>
      <c r="J20" s="20" t="inlineStr">
        <is>
          <t>Needs rules-engine encoding</t>
        </is>
      </c>
      <c r="K20" s="20" t="inlineStr">
        <is>
          <t>High</t>
        </is>
      </c>
      <c r="L20" s="20" t="inlineStr">
        <is>
          <t>Printed table skips a 'control 2' step: destroying 6 requires only 1 controlled.</t>
        </is>
      </c>
      <c r="M20" s="20" t="inlineStr">
        <is>
          <t>https://github.com/Cha0smagick/Virtual-Illuminati-New-World-order-INWO-game</t>
        </is>
      </c>
      <c r="N20" t="inlineStr">
        <is>
          <t>Goal: checked continuously as an alternate victory condition while held</t>
        </is>
      </c>
      <c r="O20" t="inlineStr">
        <is>
          <t>Government groups (destroyed) and Violent groups (controlled)</t>
        </is>
      </c>
      <c r="P20" t="inlineStr">
        <is>
          <t>None</t>
        </is>
      </c>
      <c r="Q20" t="inlineStr">
        <is>
          <t>Permanent while this Goal is held</t>
        </is>
      </c>
      <c r="R20" t="inlineStr">
        <is>
          <t>Win if (destroyed Government, controlled Violent) meets any of: (2,6),(3,5),(4,4),(5,3),(6,1)</t>
        </is>
      </c>
      <c r="S20" t="inlineStr">
        <is>
          <t>NO</t>
        </is>
      </c>
      <c r="T20" t="inlineStr">
        <is>
          <t>N/A</t>
        </is>
      </c>
      <c r="U20" t="inlineStr">
        <is>
          <t>N/A</t>
        </is>
      </c>
      <c r="V20" t="inlineStr">
        <is>
          <t>N/A — INWO uses Plots instead of group income/money</t>
        </is>
      </c>
      <c r="W20" t="inlineStr">
        <is>
          <t>N/A</t>
        </is>
      </c>
      <c r="X20" t="inlineStr">
        <is>
          <t>Cannot be combined with other Goals in any way</t>
        </is>
      </c>
      <c r="Y20" t="inlineStr">
        <is>
          <t>None beyond base rules</t>
        </is>
      </c>
      <c r="Z20" t="inlineStr">
        <is>
          <t>Standard response window</t>
        </is>
      </c>
      <c r="AA20" t="inlineStr">
        <is>
          <t>Specific card overrides general rules</t>
        </is>
      </c>
      <c r="AB20" t="inlineStr">
        <is>
          <t>Full card scan read; behaviour paraphrased (no card text copied)</t>
        </is>
      </c>
      <c r="AC20" t="inlineStr">
        <is>
          <t>FUNCTIONALLY COMPLETE</t>
        </is>
      </c>
      <c r="AD20" t="inlineStr">
        <is>
          <t>None</t>
        </is>
      </c>
      <c r="AE20" t="inlineStr">
        <is>
          <t>Card scan (GitHub: Cha0smagick/Virtual-Illuminati-New-World-order-INWO-game), read Sep 2026</t>
        </is>
      </c>
      <c r="AF20" t="inlineStr">
        <is>
          <t>N/A</t>
        </is>
      </c>
      <c r="AG20" t="inlineStr">
        <is>
          <t>N/A</t>
        </is>
      </c>
      <c r="AH20" t="inlineStr">
        <is>
          <t>N/A</t>
        </is>
      </c>
      <c r="AI20" t="inlineStr">
        <is>
          <t>N/A</t>
        </is>
      </c>
      <c r="AJ20" t="inlineStr">
        <is>
          <t>N/A</t>
        </is>
      </c>
      <c r="AK20" t="inlineStr">
        <is>
          <t>Official rules: non-Group card types do not use normal Group control-arrow geometry.</t>
        </is>
      </c>
    </row>
    <row r="21" ht="34" customHeight="1" s="16">
      <c r="A21" s="20" t="inlineStr">
        <is>
          <t>A Thousand Points of Light</t>
        </is>
      </c>
      <c r="B21" s="20" t="inlineStr">
        <is>
          <t>Plot</t>
        </is>
      </c>
      <c r="C21" s="20" t="inlineStr">
        <is>
          <t>NWO</t>
        </is>
      </c>
      <c r="D21" s="20" t="inlineStr">
        <is>
          <t>Uncommon</t>
        </is>
      </c>
      <c r="E21" s="20" t="str"/>
      <c r="F21" s="20" t="str"/>
      <c r="G21" s="20" t="str"/>
      <c r="H21" s="20" t="str"/>
      <c r="I21" s="20" t="inlineStr">
        <is>
          <t>Blue New World Order. While in play, opposite alignments give no modifier at all, either to attempts to control or to attempts to destroy.</t>
        </is>
      </c>
      <c r="J21" s="20" t="inlineStr">
        <is>
          <t>Needs rules-engine encoding</t>
        </is>
      </c>
      <c r="K21" s="20" t="inlineStr">
        <is>
          <t>High</t>
        </is>
      </c>
      <c r="L21" s="20" t="inlineStr">
        <is>
          <t>NWO color Blue (from header). Identical-alignment bonuses are not mentioned, so they presumably still apply normally.</t>
        </is>
      </c>
      <c r="M21" s="20" t="inlineStr">
        <is>
          <t>https://github.com/Cha0smagick/Virtual-Illuminati-New-World-order-INWO-game</t>
        </is>
      </c>
      <c r="N21" t="inlineStr">
        <is>
          <t>Played as a New World Order; passive while in play</t>
        </is>
      </c>
      <c r="O21" t="inlineStr">
        <is>
          <t>All control and destroy attempts</t>
        </is>
      </c>
      <c r="P21" t="inlineStr">
        <is>
          <t>None (standard NWO play)</t>
        </is>
      </c>
      <c r="Q21" t="inlineStr">
        <is>
          <t>Permanent while this NWO remains in play</t>
        </is>
      </c>
      <c r="R21" t="inlineStr">
        <is>
          <t>Opposed-alignment modifier = 0 for control and destroy attempts</t>
        </is>
      </c>
      <c r="S21" t="inlineStr">
        <is>
          <t>NO</t>
        </is>
      </c>
      <c r="T21" t="inlineStr">
        <is>
          <t>N/A</t>
        </is>
      </c>
      <c r="U21" t="inlineStr">
        <is>
          <t>N/A</t>
        </is>
      </c>
      <c r="V21" t="inlineStr">
        <is>
          <t>N/A — INWO uses Plots instead of group income/money</t>
        </is>
      </c>
      <c r="W21" t="inlineStr">
        <is>
          <t>N/A</t>
        </is>
      </c>
      <c r="X21" t="inlineStr">
        <is>
          <t>No card-specific limit (base duplicate rules apply)</t>
        </is>
      </c>
      <c r="Y21" t="inlineStr">
        <is>
          <t>None beyond base rules</t>
        </is>
      </c>
      <c r="Z21" t="inlineStr">
        <is>
          <t>Standard response window</t>
        </is>
      </c>
      <c r="AA21" t="inlineStr">
        <is>
          <t>Specific card overrides general rules</t>
        </is>
      </c>
      <c r="AB21" t="inlineStr">
        <is>
          <t>Full card scan read; behaviour paraphrased (no card text copied)</t>
        </is>
      </c>
      <c r="AC21" t="inlineStr">
        <is>
          <t>FUNCTIONALLY COMPLETE</t>
        </is>
      </c>
      <c r="AD21" t="inlineStr">
        <is>
          <t>None</t>
        </is>
      </c>
      <c r="AE21" t="inlineStr">
        <is>
          <t>Card scan (GitHub: Cha0smagick/Virtual-Illuminati-New-World-order-INWO-game), read Sep 2026</t>
        </is>
      </c>
      <c r="AF21" t="inlineStr">
        <is>
          <t>N/A</t>
        </is>
      </c>
      <c r="AG21" t="inlineStr">
        <is>
          <t>N/A</t>
        </is>
      </c>
      <c r="AH21" t="inlineStr">
        <is>
          <t>N/A</t>
        </is>
      </c>
      <c r="AI21" t="inlineStr">
        <is>
          <t>N/A</t>
        </is>
      </c>
      <c r="AJ21" t="inlineStr">
        <is>
          <t>N/A</t>
        </is>
      </c>
      <c r="AK21" t="inlineStr">
        <is>
          <t>Official rules: non-Group card types do not use normal Group control-arrow geometry.</t>
        </is>
      </c>
    </row>
    <row r="22" ht="34" customHeight="1" s="16">
      <c r="A22" s="20" t="inlineStr">
        <is>
          <t>Bigger Business</t>
        </is>
      </c>
      <c r="B22" s="20" t="inlineStr">
        <is>
          <t>Plot</t>
        </is>
      </c>
      <c r="C22" s="20" t="inlineStr">
        <is>
          <t>NWO</t>
        </is>
      </c>
      <c r="D22" s="20" t="inlineStr">
        <is>
          <t>Uncommon</t>
        </is>
      </c>
      <c r="E22" s="20" t="str"/>
      <c r="F22" s="20" t="str"/>
      <c r="G22" s="20" t="str"/>
      <c r="H22" s="20" t="str"/>
      <c r="I22" s="20" t="inlineStr">
        <is>
          <t>Yellow New World Order. All Corporate groups get +2 Power and all Conservative groups get +2 Power; groups that are both Conservative and Corporate get +3 Power.</t>
        </is>
      </c>
      <c r="J22" s="20" t="inlineStr">
        <is>
          <t>Needs rules-engine encoding</t>
        </is>
      </c>
      <c r="K22" s="20" t="inlineStr">
        <is>
          <t>High</t>
        </is>
      </c>
      <c r="L22" s="20" t="inlineStr">
        <is>
          <t>NWO color Yellow (from header). Card does not state whether the +3 replaces or stacks with the two +2s; most likely it is a replacement (total +3, not +7).</t>
        </is>
      </c>
      <c r="M22" s="20" t="inlineStr">
        <is>
          <t>https://github.com/Cha0smagick/Virtual-Illuminati-New-World-order-INWO-game</t>
        </is>
      </c>
      <c r="N22" t="inlineStr">
        <is>
          <t>Played as a New World Order; passive while in play</t>
        </is>
      </c>
      <c r="O22" t="inlineStr">
        <is>
          <t>All Corporate and/or Conservative groups</t>
        </is>
      </c>
      <c r="P22" t="inlineStr">
        <is>
          <t>None (standard NWO play)</t>
        </is>
      </c>
      <c r="Q22" t="inlineStr">
        <is>
          <t>Permanent while this NWO remains in play</t>
        </is>
      </c>
      <c r="R22" t="inlineStr">
        <is>
          <t>Corporate: Power +2; Conservative: Power +2; Conservative AND Corporate: Power +3</t>
        </is>
      </c>
      <c r="S22" t="inlineStr">
        <is>
          <t>NO</t>
        </is>
      </c>
      <c r="T22" t="inlineStr">
        <is>
          <t>N/A</t>
        </is>
      </c>
      <c r="U22" t="inlineStr">
        <is>
          <t>N/A</t>
        </is>
      </c>
      <c r="V22" t="inlineStr">
        <is>
          <t>N/A — INWO uses Plots instead of group income/money</t>
        </is>
      </c>
      <c r="W22" t="inlineStr">
        <is>
          <t>N/A</t>
        </is>
      </c>
      <c r="X22" t="inlineStr">
        <is>
          <t>No card-specific limit (base duplicate rules apply)</t>
        </is>
      </c>
      <c r="Y22" t="inlineStr">
        <is>
          <t>None beyond base rules</t>
        </is>
      </c>
      <c r="Z22" t="inlineStr">
        <is>
          <t>Standard response window</t>
        </is>
      </c>
      <c r="AA22" t="inlineStr">
        <is>
          <t>Specific card overrides general rules</t>
        </is>
      </c>
      <c r="AB22" t="inlineStr">
        <is>
          <t>Full card scan read; behaviour paraphrased (no card text copied)</t>
        </is>
      </c>
      <c r="AC22" t="inlineStr">
        <is>
          <t>FUNCTIONALLY COMPLETE</t>
        </is>
      </c>
      <c r="AD22" t="inlineStr">
        <is>
          <t>None</t>
        </is>
      </c>
      <c r="AE22" t="inlineStr">
        <is>
          <t>Card scan (GitHub: Cha0smagick/Virtual-Illuminati-New-World-order-INWO-game), read Sep 2026</t>
        </is>
      </c>
      <c r="AF22" t="inlineStr">
        <is>
          <t>N/A</t>
        </is>
      </c>
      <c r="AG22" t="inlineStr">
        <is>
          <t>N/A</t>
        </is>
      </c>
      <c r="AH22" t="inlineStr">
        <is>
          <t>N/A</t>
        </is>
      </c>
      <c r="AI22" t="inlineStr">
        <is>
          <t>N/A</t>
        </is>
      </c>
      <c r="AJ22" t="inlineStr">
        <is>
          <t>N/A</t>
        </is>
      </c>
      <c r="AK22" t="inlineStr">
        <is>
          <t>Official rules: non-Group card types do not use normal Group control-arrow geometry.</t>
        </is>
      </c>
    </row>
    <row r="23" ht="34" customHeight="1" s="16">
      <c r="A23" s="20" t="inlineStr">
        <is>
          <t>Chicken in Every Pot</t>
        </is>
      </c>
      <c r="B23" s="20" t="inlineStr">
        <is>
          <t>Plot</t>
        </is>
      </c>
      <c r="C23" s="20" t="inlineStr">
        <is>
          <t>NWO</t>
        </is>
      </c>
      <c r="D23" s="20" t="inlineStr">
        <is>
          <t>Common</t>
        </is>
      </c>
      <c r="E23" s="20" t="str"/>
      <c r="F23" s="20" t="str"/>
      <c r="G23" s="20" t="str"/>
      <c r="H23" s="20" t="str"/>
      <c r="I23" s="20" t="inlineStr">
        <is>
          <t>Blue New World Order. All Banks and all Coastal Places get +2 Power. All Violent groups get -1 Power.</t>
        </is>
      </c>
      <c r="J23" s="20" t="inlineStr">
        <is>
          <t>Needs rules-engine encoding</t>
        </is>
      </c>
      <c r="K23" s="20" t="inlineStr">
        <is>
          <t>High</t>
        </is>
      </c>
      <c r="L23" s="20" t="inlineStr">
        <is>
          <t>NWO color Blue (from header). A group that is both a Bank and Coastal Place presumably gets +2 once.</t>
        </is>
      </c>
      <c r="M23" s="20" t="inlineStr">
        <is>
          <t>https://github.com/Cha0smagick/Virtual-Illuminati-New-World-order-INWO-game</t>
        </is>
      </c>
      <c r="N23" t="inlineStr">
        <is>
          <t>Played as a New World Order; passive while in play</t>
        </is>
      </c>
      <c r="O23" t="inlineStr">
        <is>
          <t>Banks, Coastal Places, Violent groups</t>
        </is>
      </c>
      <c r="P23" t="inlineStr">
        <is>
          <t>None (standard NWO play)</t>
        </is>
      </c>
      <c r="Q23" t="inlineStr">
        <is>
          <t>Permanent while this NWO remains in play</t>
        </is>
      </c>
      <c r="R23" t="inlineStr">
        <is>
          <t>Banks: Power +2; Coastal Places: Power +2; Violent: Power -1</t>
        </is>
      </c>
      <c r="S23" t="inlineStr">
        <is>
          <t>NO</t>
        </is>
      </c>
      <c r="T23" t="inlineStr">
        <is>
          <t>N/A</t>
        </is>
      </c>
      <c r="U23" t="inlineStr">
        <is>
          <t>N/A</t>
        </is>
      </c>
      <c r="V23" t="inlineStr">
        <is>
          <t>N/A — INWO uses Plots instead of group income/money</t>
        </is>
      </c>
      <c r="W23" t="inlineStr">
        <is>
          <t>N/A</t>
        </is>
      </c>
      <c r="X23" t="inlineStr">
        <is>
          <t>No card-specific limit (base duplicate rules apply)</t>
        </is>
      </c>
      <c r="Y23" t="inlineStr">
        <is>
          <t>None beyond base rules</t>
        </is>
      </c>
      <c r="Z23" t="inlineStr">
        <is>
          <t>Standard response window</t>
        </is>
      </c>
      <c r="AA23" t="inlineStr">
        <is>
          <t>Specific card overrides general rules</t>
        </is>
      </c>
      <c r="AB23" t="inlineStr">
        <is>
          <t>Full card scan read; behaviour paraphrased (no card text copied)</t>
        </is>
      </c>
      <c r="AC23" t="inlineStr">
        <is>
          <t>FUNCTIONALLY COMPLETE</t>
        </is>
      </c>
      <c r="AD23" t="inlineStr">
        <is>
          <t>None</t>
        </is>
      </c>
      <c r="AE23" t="inlineStr">
        <is>
          <t>Card scan (GitHub: Cha0smagick/Virtual-Illuminati-New-World-order-INWO-game), read Sep 2026</t>
        </is>
      </c>
      <c r="AF23" t="inlineStr">
        <is>
          <t>N/A</t>
        </is>
      </c>
      <c r="AG23" t="inlineStr">
        <is>
          <t>N/A</t>
        </is>
      </c>
      <c r="AH23" t="inlineStr">
        <is>
          <t>N/A</t>
        </is>
      </c>
      <c r="AI23" t="inlineStr">
        <is>
          <t>N/A</t>
        </is>
      </c>
      <c r="AJ23" t="inlineStr">
        <is>
          <t>N/A</t>
        </is>
      </c>
      <c r="AK23" t="inlineStr">
        <is>
          <t>Official rules: non-Group card types do not use normal Group control-arrow geometry.</t>
        </is>
      </c>
    </row>
    <row r="24" ht="34" customHeight="1" s="16">
      <c r="A24" s="20" t="inlineStr">
        <is>
          <t>Don't Forget to Smash The State</t>
        </is>
      </c>
      <c r="B24" s="20" t="inlineStr">
        <is>
          <t>Plot</t>
        </is>
      </c>
      <c r="C24" s="20" t="inlineStr">
        <is>
          <t>NWO</t>
        </is>
      </c>
      <c r="D24" s="20" t="inlineStr">
        <is>
          <t>Common</t>
        </is>
      </c>
      <c r="E24" s="20" t="str"/>
      <c r="F24" s="20" t="str"/>
      <c r="G24" s="20" t="str"/>
      <c r="H24" s="20" t="str"/>
      <c r="I24" s="20" t="inlineStr">
        <is>
          <t>Yellow New World Order. All Government groups get -3 Power. All Straight groups that are not Government get -2 Power.</t>
        </is>
      </c>
      <c r="J24" s="20" t="inlineStr">
        <is>
          <t>Needs rules-engine encoding</t>
        </is>
      </c>
      <c r="K24" s="20" t="inlineStr">
        <is>
          <t>High</t>
        </is>
      </c>
      <c r="L24" s="20" t="inlineStr">
        <is>
          <t>NWO color Yellow (from header). Straight Government groups get only the -3 (the -2 applies only to non-Government).</t>
        </is>
      </c>
      <c r="M24" s="20" t="inlineStr">
        <is>
          <t>https://github.com/Cha0smagick/Virtual-Illuminati-New-World-order-INWO-game</t>
        </is>
      </c>
      <c r="N24" t="inlineStr">
        <is>
          <t>Played as a New World Order; passive while in play</t>
        </is>
      </c>
      <c r="O24" t="inlineStr">
        <is>
          <t>Government groups; Straight non-Government groups</t>
        </is>
      </c>
      <c r="P24" t="inlineStr">
        <is>
          <t>None (standard NWO play)</t>
        </is>
      </c>
      <c r="Q24" t="inlineStr">
        <is>
          <t>Permanent while this NWO remains in play</t>
        </is>
      </c>
      <c r="R24" t="inlineStr">
        <is>
          <t>Government: Power -3; Straight and not Government: Power -2</t>
        </is>
      </c>
      <c r="S24" t="inlineStr">
        <is>
          <t>NO</t>
        </is>
      </c>
      <c r="T24" t="inlineStr">
        <is>
          <t>N/A</t>
        </is>
      </c>
      <c r="U24" t="inlineStr">
        <is>
          <t>N/A</t>
        </is>
      </c>
      <c r="V24" t="inlineStr">
        <is>
          <t>N/A — INWO uses Plots instead of group income/money</t>
        </is>
      </c>
      <c r="W24" t="inlineStr">
        <is>
          <t>N/A</t>
        </is>
      </c>
      <c r="X24" t="inlineStr">
        <is>
          <t>No card-specific limit (base duplicate rules apply)</t>
        </is>
      </c>
      <c r="Y24" t="inlineStr">
        <is>
          <t>None beyond base rules</t>
        </is>
      </c>
      <c r="Z24" t="inlineStr">
        <is>
          <t>Standard response window</t>
        </is>
      </c>
      <c r="AA24" t="inlineStr">
        <is>
          <t>Specific card overrides general rules</t>
        </is>
      </c>
      <c r="AB24" t="inlineStr">
        <is>
          <t>Full card scan read; behaviour paraphrased (no card text copied)</t>
        </is>
      </c>
      <c r="AC24" t="inlineStr">
        <is>
          <t>FUNCTIONALLY COMPLETE</t>
        </is>
      </c>
      <c r="AD24" t="inlineStr">
        <is>
          <t>None</t>
        </is>
      </c>
      <c r="AE24" t="inlineStr">
        <is>
          <t>Card scan (GitHub: Cha0smagick/Virtual-Illuminati-New-World-order-INWO-game), read Sep 2026</t>
        </is>
      </c>
      <c r="AF24" t="inlineStr">
        <is>
          <t>N/A</t>
        </is>
      </c>
      <c r="AG24" t="inlineStr">
        <is>
          <t>N/A</t>
        </is>
      </c>
      <c r="AH24" t="inlineStr">
        <is>
          <t>N/A</t>
        </is>
      </c>
      <c r="AI24" t="inlineStr">
        <is>
          <t>N/A</t>
        </is>
      </c>
      <c r="AJ24" t="inlineStr">
        <is>
          <t>N/A</t>
        </is>
      </c>
      <c r="AK24" t="inlineStr">
        <is>
          <t>Official rules: non-Group card types do not use normal Group control-arrow geometry.</t>
        </is>
      </c>
    </row>
    <row r="25" ht="34" customHeight="1" s="16">
      <c r="A25" s="20" t="inlineStr">
        <is>
          <t>Energy Crisis</t>
        </is>
      </c>
      <c r="B25" s="20" t="inlineStr">
        <is>
          <t>Plot</t>
        </is>
      </c>
      <c r="C25" s="20" t="inlineStr">
        <is>
          <t>NWO</t>
        </is>
      </c>
      <c r="D25" s="20" t="inlineStr">
        <is>
          <t>Rare</t>
        </is>
      </c>
      <c r="E25" s="20" t="str"/>
      <c r="F25" s="20" t="str"/>
      <c r="G25" s="20" t="str"/>
      <c r="H25" s="20" t="str"/>
      <c r="I25" s="20" t="inlineStr">
        <is>
          <t>Blue New World Order. All Corporate groups get -2 Power. All Green groups get -1 Power and -1 Resistance.</t>
        </is>
      </c>
      <c r="J25" s="20" t="inlineStr">
        <is>
          <t>Needs rules-engine encoding</t>
        </is>
      </c>
      <c r="K25" s="20" t="inlineStr">
        <is>
          <t>High</t>
        </is>
      </c>
      <c r="L25" s="20" t="inlineStr">
        <is>
          <t>NWO color Blue (from header).</t>
        </is>
      </c>
      <c r="M25" s="20" t="inlineStr">
        <is>
          <t>https://github.com/Cha0smagick/Virtual-Illuminati-New-World-order-INWO-game</t>
        </is>
      </c>
      <c r="N25" t="inlineStr">
        <is>
          <t>Played as a New World Order; passive while in play</t>
        </is>
      </c>
      <c r="O25" t="inlineStr">
        <is>
          <t>Corporate groups; Green groups</t>
        </is>
      </c>
      <c r="P25" t="inlineStr">
        <is>
          <t>None (standard NWO play)</t>
        </is>
      </c>
      <c r="Q25" t="inlineStr">
        <is>
          <t>Permanent while this NWO remains in play</t>
        </is>
      </c>
      <c r="R25" t="inlineStr">
        <is>
          <t>Corporate: Power -2; Green: Power -1, Resistance -1</t>
        </is>
      </c>
      <c r="S25" t="inlineStr">
        <is>
          <t>NO</t>
        </is>
      </c>
      <c r="T25" t="inlineStr">
        <is>
          <t>N/A</t>
        </is>
      </c>
      <c r="U25" t="inlineStr">
        <is>
          <t>N/A</t>
        </is>
      </c>
      <c r="V25" t="inlineStr">
        <is>
          <t>N/A — INWO uses Plots instead of group income/money</t>
        </is>
      </c>
      <c r="W25" t="inlineStr">
        <is>
          <t>N/A</t>
        </is>
      </c>
      <c r="X25" t="inlineStr">
        <is>
          <t>No card-specific limit (base duplicate rules apply)</t>
        </is>
      </c>
      <c r="Y25" t="inlineStr">
        <is>
          <t>None beyond base rules</t>
        </is>
      </c>
      <c r="Z25" t="inlineStr">
        <is>
          <t>Standard response window</t>
        </is>
      </c>
      <c r="AA25" t="inlineStr">
        <is>
          <t>Specific card overrides general rules</t>
        </is>
      </c>
      <c r="AB25" t="inlineStr">
        <is>
          <t>Full card scan read; behaviour paraphrased (no card text copied)</t>
        </is>
      </c>
      <c r="AC25" t="inlineStr">
        <is>
          <t>FUNCTIONALLY COMPLETE</t>
        </is>
      </c>
      <c r="AD25" t="inlineStr">
        <is>
          <t>None</t>
        </is>
      </c>
      <c r="AE25" t="inlineStr">
        <is>
          <t>Card scan (GitHub: Cha0smagick/Virtual-Illuminati-New-World-order-INWO-game), read Sep 2026</t>
        </is>
      </c>
      <c r="AF25" t="inlineStr">
        <is>
          <t>N/A</t>
        </is>
      </c>
      <c r="AG25" t="inlineStr">
        <is>
          <t>N/A</t>
        </is>
      </c>
      <c r="AH25" t="inlineStr">
        <is>
          <t>N/A</t>
        </is>
      </c>
      <c r="AI25" t="inlineStr">
        <is>
          <t>N/A</t>
        </is>
      </c>
      <c r="AJ25" t="inlineStr">
        <is>
          <t>N/A</t>
        </is>
      </c>
      <c r="AK25" t="inlineStr">
        <is>
          <t>Official rules: non-Group card types do not use normal Group control-arrow geometry.</t>
        </is>
      </c>
    </row>
    <row r="26" ht="34" customHeight="1" s="16">
      <c r="A26" s="20" t="inlineStr">
        <is>
          <t>Fear and Loathing</t>
        </is>
      </c>
      <c r="B26" s="20" t="inlineStr">
        <is>
          <t>Plot</t>
        </is>
      </c>
      <c r="C26" s="20" t="inlineStr">
        <is>
          <t>NWO</t>
        </is>
      </c>
      <c r="D26" s="20" t="inlineStr">
        <is>
          <t>Uncommon</t>
        </is>
      </c>
      <c r="E26" s="20" t="str"/>
      <c r="F26" s="20" t="str"/>
      <c r="G26" s="20" t="str"/>
      <c r="H26" s="20" t="str"/>
      <c r="I26" s="20" t="inlineStr">
        <is>
          <t>Blue New World Order. While in play, each identical alignment between attacker and target gives +8 to attempts to control and -8 to attempts to destroy; each opposed alignment gives -8 to control attempts and +8 to destroy attempts.</t>
        </is>
      </c>
      <c r="J26" s="20" t="inlineStr">
        <is>
          <t>Needs rules-engine encoding</t>
        </is>
      </c>
      <c r="K26" s="20" t="inlineStr">
        <is>
          <t>High</t>
        </is>
      </c>
      <c r="L26" s="20" t="inlineStr">
        <is>
          <t>NWO color Blue (from header). Presumably applied per matching/opposed alignment pair, as with the base alignment modifiers.</t>
        </is>
      </c>
      <c r="M26" s="20" t="inlineStr">
        <is>
          <t>https://github.com/Cha0smagick/Virtual-Illuminati-New-World-order-INWO-game</t>
        </is>
      </c>
      <c r="N26" t="inlineStr">
        <is>
          <t>Played as a New World Order; passive while in play</t>
        </is>
      </c>
      <c r="O26" t="inlineStr">
        <is>
          <t>All control and destroy attempts</t>
        </is>
      </c>
      <c r="P26" t="inlineStr">
        <is>
          <t>None (standard NWO play)</t>
        </is>
      </c>
      <c r="Q26" t="inlineStr">
        <is>
          <t>Permanent while this NWO remains in play</t>
        </is>
      </c>
      <c r="R26" t="inlineStr">
        <is>
          <t>Identical alignment: +8 control / -8 destroy; Opposed alignment: -8 control / +8 destroy (replaces normal alignment modifiers)</t>
        </is>
      </c>
      <c r="S26" t="inlineStr">
        <is>
          <t>NO</t>
        </is>
      </c>
      <c r="T26" t="inlineStr">
        <is>
          <t>N/A</t>
        </is>
      </c>
      <c r="U26" t="inlineStr">
        <is>
          <t>N/A</t>
        </is>
      </c>
      <c r="V26" t="inlineStr">
        <is>
          <t>N/A — INWO uses Plots instead of group income/money</t>
        </is>
      </c>
      <c r="W26" t="inlineStr">
        <is>
          <t>N/A</t>
        </is>
      </c>
      <c r="X26" t="inlineStr">
        <is>
          <t>No card-specific limit (base duplicate rules apply)</t>
        </is>
      </c>
      <c r="Y26" t="inlineStr">
        <is>
          <t>None beyond base rules</t>
        </is>
      </c>
      <c r="Z26" t="inlineStr">
        <is>
          <t>Standard response window</t>
        </is>
      </c>
      <c r="AA26" t="inlineStr">
        <is>
          <t>Specific card overrides general rules</t>
        </is>
      </c>
      <c r="AB26" t="inlineStr">
        <is>
          <t>Full card scan read; behaviour paraphrased (no card text copied)</t>
        </is>
      </c>
      <c r="AC26" t="inlineStr">
        <is>
          <t>FUNCTIONALLY COMPLETE</t>
        </is>
      </c>
      <c r="AD26" t="inlineStr">
        <is>
          <t>None</t>
        </is>
      </c>
      <c r="AE26" t="inlineStr">
        <is>
          <t>Card scan (GitHub: Cha0smagick/Virtual-Illuminati-New-World-order-INWO-game), read Sep 2026</t>
        </is>
      </c>
      <c r="AF26" t="inlineStr">
        <is>
          <t>N/A</t>
        </is>
      </c>
      <c r="AG26" t="inlineStr">
        <is>
          <t>N/A</t>
        </is>
      </c>
      <c r="AH26" t="inlineStr">
        <is>
          <t>N/A</t>
        </is>
      </c>
      <c r="AI26" t="inlineStr">
        <is>
          <t>N/A</t>
        </is>
      </c>
      <c r="AJ26" t="inlineStr">
        <is>
          <t>N/A</t>
        </is>
      </c>
      <c r="AK26" t="inlineStr">
        <is>
          <t>Official rules: non-Group card types do not use normal Group control-arrow geometry.</t>
        </is>
      </c>
    </row>
    <row r="27" ht="34" customHeight="1" s="16">
      <c r="A27" s="20" t="inlineStr">
        <is>
          <t>Gun Control</t>
        </is>
      </c>
      <c r="B27" s="20" t="inlineStr">
        <is>
          <t>Plot</t>
        </is>
      </c>
      <c r="C27" s="20" t="inlineStr">
        <is>
          <t>NWO</t>
        </is>
      </c>
      <c r="D27" s="20" t="inlineStr">
        <is>
          <t>Uncommon</t>
        </is>
      </c>
      <c r="E27" s="20" t="str"/>
      <c r="F27" s="20" t="str"/>
      <c r="G27" s="20" t="str"/>
      <c r="H27" s="20" t="str"/>
      <c r="I27" s="20" t="inlineStr">
        <is>
          <t>Red New World Order. All groups that are both Violent and Government get +3 Power. All Criminal groups get +1 Power.</t>
        </is>
      </c>
      <c r="J27" s="20" t="inlineStr">
        <is>
          <t>Needs rules-engine encoding</t>
        </is>
      </c>
      <c r="K27" s="20" t="inlineStr">
        <is>
          <t>High</t>
        </is>
      </c>
      <c r="L27" s="20" t="inlineStr">
        <is>
          <t>NWO color Red (from header). A group that is Violent, Government and Criminal presumably gets both (+4).</t>
        </is>
      </c>
      <c r="M27" s="20" t="inlineStr">
        <is>
          <t>https://github.com/Cha0smagick/Virtual-Illuminati-New-World-order-INWO-game</t>
        </is>
      </c>
      <c r="N27" t="inlineStr">
        <is>
          <t>Played as a New World Order; passive while in play</t>
        </is>
      </c>
      <c r="O27" t="inlineStr">
        <is>
          <t>Violent Government groups; Criminal groups</t>
        </is>
      </c>
      <c r="P27" t="inlineStr">
        <is>
          <t>None (standard NWO play)</t>
        </is>
      </c>
      <c r="Q27" t="inlineStr">
        <is>
          <t>Permanent while this NWO remains in play</t>
        </is>
      </c>
      <c r="R27" t="inlineStr">
        <is>
          <t>Violent AND Government: Power +3; Criminal: Power +1</t>
        </is>
      </c>
      <c r="S27" t="inlineStr">
        <is>
          <t>NO</t>
        </is>
      </c>
      <c r="T27" t="inlineStr">
        <is>
          <t>N/A</t>
        </is>
      </c>
      <c r="U27" t="inlineStr">
        <is>
          <t>N/A</t>
        </is>
      </c>
      <c r="V27" t="inlineStr">
        <is>
          <t>N/A — INWO uses Plots instead of group income/money</t>
        </is>
      </c>
      <c r="W27" t="inlineStr">
        <is>
          <t>N/A</t>
        </is>
      </c>
      <c r="X27" t="inlineStr">
        <is>
          <t>No card-specific limit (base duplicate rules apply)</t>
        </is>
      </c>
      <c r="Y27" t="inlineStr">
        <is>
          <t>None beyond base rules</t>
        </is>
      </c>
      <c r="Z27" t="inlineStr">
        <is>
          <t>Standard response window</t>
        </is>
      </c>
      <c r="AA27" t="inlineStr">
        <is>
          <t>Specific card overrides general rules</t>
        </is>
      </c>
      <c r="AB27" t="inlineStr">
        <is>
          <t>Full card scan read; behaviour paraphrased (no card text copied)</t>
        </is>
      </c>
      <c r="AC27" t="inlineStr">
        <is>
          <t>FUNCTIONALLY COMPLETE</t>
        </is>
      </c>
      <c r="AD27" t="inlineStr">
        <is>
          <t>None</t>
        </is>
      </c>
      <c r="AE27" t="inlineStr">
        <is>
          <t>Card scan (GitHub: Cha0smagick/Virtual-Illuminati-New-World-order-INWO-game), read Sep 2026</t>
        </is>
      </c>
      <c r="AF27" t="inlineStr">
        <is>
          <t>N/A</t>
        </is>
      </c>
      <c r="AG27" t="inlineStr">
        <is>
          <t>N/A</t>
        </is>
      </c>
      <c r="AH27" t="inlineStr">
        <is>
          <t>N/A</t>
        </is>
      </c>
      <c r="AI27" t="inlineStr">
        <is>
          <t>N/A</t>
        </is>
      </c>
      <c r="AJ27" t="inlineStr">
        <is>
          <t>N/A</t>
        </is>
      </c>
      <c r="AK27" t="inlineStr">
        <is>
          <t>Official rules: non-Group card types do not use normal Group control-arrow geometry.</t>
        </is>
      </c>
    </row>
    <row r="28" ht="34" customHeight="1" s="16">
      <c r="A28" s="20" t="inlineStr">
        <is>
          <t>Law and Order</t>
        </is>
      </c>
      <c r="B28" s="20" t="inlineStr">
        <is>
          <t>Plot</t>
        </is>
      </c>
      <c r="C28" s="20" t="inlineStr">
        <is>
          <t>NWO</t>
        </is>
      </c>
      <c r="D28" s="20" t="inlineStr">
        <is>
          <t>Uncommon</t>
        </is>
      </c>
      <c r="E28" s="20" t="str"/>
      <c r="F28" s="20" t="str"/>
      <c r="G28" s="20" t="str"/>
      <c r="H28" s="20" t="str"/>
      <c r="I28" s="20" t="inlineStr">
        <is>
          <t>Yellow New World Order. All Conservative groups get +2 Power and all Straight groups get +2 Power; groups that are both Straight and Conservative get +3 Power.</t>
        </is>
      </c>
      <c r="J28" s="20" t="inlineStr">
        <is>
          <t>Needs rules-engine encoding</t>
        </is>
      </c>
      <c r="K28" s="20" t="inlineStr">
        <is>
          <t>High</t>
        </is>
      </c>
      <c r="L28" s="20" t="inlineStr">
        <is>
          <t>NWO color Yellow (from header). Card does not state whether the +3 replaces or stacks with the two +2s; most likely a replacement (total +3).</t>
        </is>
      </c>
      <c r="M28" s="20" t="inlineStr">
        <is>
          <t>https://github.com/Cha0smagick/Virtual-Illuminati-New-World-order-INWO-game</t>
        </is>
      </c>
      <c r="N28" t="inlineStr">
        <is>
          <t>Played as a New World Order; passive while in play</t>
        </is>
      </c>
      <c r="O28" t="inlineStr">
        <is>
          <t>Conservative and/or Straight groups</t>
        </is>
      </c>
      <c r="P28" t="inlineStr">
        <is>
          <t>None (standard NWO play)</t>
        </is>
      </c>
      <c r="Q28" t="inlineStr">
        <is>
          <t>Permanent while this NWO remains in play</t>
        </is>
      </c>
      <c r="R28" t="inlineStr">
        <is>
          <t>Conservative: Power +2; Straight: Power +2; Straight AND Conservative: Power +3</t>
        </is>
      </c>
      <c r="S28" t="inlineStr">
        <is>
          <t>NO</t>
        </is>
      </c>
      <c r="T28" t="inlineStr">
        <is>
          <t>N/A</t>
        </is>
      </c>
      <c r="U28" t="inlineStr">
        <is>
          <t>N/A</t>
        </is>
      </c>
      <c r="V28" t="inlineStr">
        <is>
          <t>N/A — INWO uses Plots instead of group income/money</t>
        </is>
      </c>
      <c r="W28" t="inlineStr">
        <is>
          <t>N/A</t>
        </is>
      </c>
      <c r="X28" t="inlineStr">
        <is>
          <t>No card-specific limit (base duplicate rules apply)</t>
        </is>
      </c>
      <c r="Y28" t="inlineStr">
        <is>
          <t>None beyond base rules</t>
        </is>
      </c>
      <c r="Z28" t="inlineStr">
        <is>
          <t>Standard response window</t>
        </is>
      </c>
      <c r="AA28" t="inlineStr">
        <is>
          <t>Specific card overrides general rules</t>
        </is>
      </c>
      <c r="AB28" t="inlineStr">
        <is>
          <t>Full card scan read; behaviour paraphrased (no card text copied)</t>
        </is>
      </c>
      <c r="AC28" t="inlineStr">
        <is>
          <t>FUNCTIONALLY COMPLETE</t>
        </is>
      </c>
      <c r="AD28" t="inlineStr">
        <is>
          <t>None</t>
        </is>
      </c>
      <c r="AE28" t="inlineStr">
        <is>
          <t>Card scan (GitHub: Cha0smagick/Virtual-Illuminati-New-World-order-INWO-game), read Sep 2026</t>
        </is>
      </c>
      <c r="AF28" t="inlineStr">
        <is>
          <t>N/A</t>
        </is>
      </c>
      <c r="AG28" t="inlineStr">
        <is>
          <t>N/A</t>
        </is>
      </c>
      <c r="AH28" t="inlineStr">
        <is>
          <t>N/A</t>
        </is>
      </c>
      <c r="AI28" t="inlineStr">
        <is>
          <t>N/A</t>
        </is>
      </c>
      <c r="AJ28" t="inlineStr">
        <is>
          <t>N/A</t>
        </is>
      </c>
      <c r="AK28" t="inlineStr">
        <is>
          <t>Official rules: non-Group card types do not use normal Group control-arrow geometry.</t>
        </is>
      </c>
    </row>
    <row r="29" ht="34" customHeight="1" s="16">
      <c r="A29" s="20" t="inlineStr">
        <is>
          <t>Military-Industrial Complex</t>
        </is>
      </c>
      <c r="B29" s="20" t="inlineStr">
        <is>
          <t>Plot</t>
        </is>
      </c>
      <c r="C29" s="20" t="inlineStr">
        <is>
          <t>NWO</t>
        </is>
      </c>
      <c r="D29" s="20" t="inlineStr">
        <is>
          <t>Common</t>
        </is>
      </c>
      <c r="E29" s="20" t="str"/>
      <c r="F29" s="20" t="str"/>
      <c r="G29" s="20" t="str"/>
      <c r="H29" s="20" t="str"/>
      <c r="I29" s="20" t="inlineStr">
        <is>
          <t>Yellow New World Order. While in play, every Corporate card is also treated as Government for all purposes, except for Goal conditions.</t>
        </is>
      </c>
      <c r="J29" s="20" t="inlineStr">
        <is>
          <t>Needs rules-engine encoding</t>
        </is>
      </c>
      <c r="K29" s="20" t="inlineStr">
        <is>
          <t>High</t>
        </is>
      </c>
      <c r="L29" s="20" t="inlineStr">
        <is>
          <t>NWO color Yellow (from header). Card says 'Corporate cards', not just groups.</t>
        </is>
      </c>
      <c r="M29" s="20" t="inlineStr">
        <is>
          <t>https://github.com/Cha0smagick/Virtual-Illuminati-New-World-order-INWO-game</t>
        </is>
      </c>
      <c r="N29" t="inlineStr">
        <is>
          <t>Played as a New World Order; passive while in play</t>
        </is>
      </c>
      <c r="O29" t="inlineStr">
        <is>
          <t>All Corporate cards</t>
        </is>
      </c>
      <c r="P29" t="inlineStr">
        <is>
          <t>None (standard NWO play)</t>
        </is>
      </c>
      <c r="Q29" t="inlineStr">
        <is>
          <t>Permanent while this NWO remains in play</t>
        </is>
      </c>
      <c r="R29" t="inlineStr">
        <is>
          <t>Corporate cards gain Government attribute (ignored when evaluating Goals)</t>
        </is>
      </c>
      <c r="S29" t="inlineStr">
        <is>
          <t>NO</t>
        </is>
      </c>
      <c r="T29" t="inlineStr">
        <is>
          <t>N/A</t>
        </is>
      </c>
      <c r="U29" t="inlineStr">
        <is>
          <t>N/A</t>
        </is>
      </c>
      <c r="V29" t="inlineStr">
        <is>
          <t>N/A — INWO uses Plots instead of group income/money</t>
        </is>
      </c>
      <c r="W29" t="inlineStr">
        <is>
          <t>N/A</t>
        </is>
      </c>
      <c r="X29" t="inlineStr">
        <is>
          <t>No card-specific limit (base duplicate rules apply)</t>
        </is>
      </c>
      <c r="Y29" t="inlineStr">
        <is>
          <t>None beyond base rules</t>
        </is>
      </c>
      <c r="Z29" t="inlineStr">
        <is>
          <t>Standard response window</t>
        </is>
      </c>
      <c r="AA29" t="inlineStr">
        <is>
          <t>Specific card overrides general rules</t>
        </is>
      </c>
      <c r="AB29" t="inlineStr">
        <is>
          <t>Full card scan read; behaviour paraphrased (no card text copied)</t>
        </is>
      </c>
      <c r="AC29" t="inlineStr">
        <is>
          <t>FUNCTIONALLY COMPLETE</t>
        </is>
      </c>
      <c r="AD29" t="inlineStr">
        <is>
          <t>None</t>
        </is>
      </c>
      <c r="AE29" t="inlineStr">
        <is>
          <t>Card scan (GitHub: Cha0smagick/Virtual-Illuminati-New-World-order-INWO-game), read Sep 2026</t>
        </is>
      </c>
      <c r="AF29" t="inlineStr">
        <is>
          <t>N/A</t>
        </is>
      </c>
      <c r="AG29" t="inlineStr">
        <is>
          <t>N/A</t>
        </is>
      </c>
      <c r="AH29" t="inlineStr">
        <is>
          <t>N/A</t>
        </is>
      </c>
      <c r="AI29" t="inlineStr">
        <is>
          <t>N/A</t>
        </is>
      </c>
      <c r="AJ29" t="inlineStr">
        <is>
          <t>N/A</t>
        </is>
      </c>
      <c r="AK29" t="inlineStr">
        <is>
          <t>Official rules: non-Group card types do not use normal Group control-arrow geometry.</t>
        </is>
      </c>
    </row>
    <row r="30" ht="34" customHeight="1" s="16">
      <c r="A30" s="20" t="inlineStr">
        <is>
          <t>Peace in Our Time</t>
        </is>
      </c>
      <c r="B30" s="20" t="inlineStr">
        <is>
          <t>Plot</t>
        </is>
      </c>
      <c r="C30" s="20" t="inlineStr">
        <is>
          <t>NWO</t>
        </is>
      </c>
      <c r="D30" s="20" t="inlineStr">
        <is>
          <t>Common</t>
        </is>
      </c>
      <c r="E30" s="20" t="str"/>
      <c r="F30" s="20" t="str"/>
      <c r="G30" s="20" t="str"/>
      <c r="H30" s="20" t="str"/>
      <c r="I30" s="20" t="inlineStr">
        <is>
          <t>Red New World Order. All Peaceful groups get +1 Power, or +3 Power instead when defending against an attempt to destroy. Peaceful groups in a Power Structure also get +3 Resistance. All Violent or Criminal groups get -1 Power.</t>
        </is>
      </c>
      <c r="J30" s="20" t="inlineStr">
        <is>
          <t>Needs rules-engine encoding</t>
        </is>
      </c>
      <c r="K30" s="20" t="inlineStr">
        <is>
          <t>High</t>
        </is>
      </c>
      <c r="L30" s="20" t="inlineStr">
        <is>
          <t>NWO color Red (from header). 'Or by 3 against destroy' read as +3 total in that case, not +4.</t>
        </is>
      </c>
      <c r="M30" s="20" t="inlineStr">
        <is>
          <t>https://github.com/Cha0smagick/Virtual-Illuminati-New-World-order-INWO-game</t>
        </is>
      </c>
      <c r="N30" t="inlineStr">
        <is>
          <t>Played as a New World Order; passive while in play</t>
        </is>
      </c>
      <c r="O30" t="inlineStr">
        <is>
          <t>Peaceful groups; Violent or Criminal groups</t>
        </is>
      </c>
      <c r="P30" t="inlineStr">
        <is>
          <t>None (standard NWO play)</t>
        </is>
      </c>
      <c r="Q30" t="inlineStr">
        <is>
          <t>Permanent while this NWO remains in play</t>
        </is>
      </c>
      <c r="R30" t="inlineStr">
        <is>
          <t>Peaceful: Power +1 (+3 vs destroy attempts); Peaceful in a Power Structure: Resistance +3; Violent or Criminal: Power -1 (once, even if both)</t>
        </is>
      </c>
      <c r="S30" t="inlineStr">
        <is>
          <t>NO</t>
        </is>
      </c>
      <c r="T30" t="inlineStr">
        <is>
          <t>N/A</t>
        </is>
      </c>
      <c r="U30" t="inlineStr">
        <is>
          <t>N/A</t>
        </is>
      </c>
      <c r="V30" t="inlineStr">
        <is>
          <t>N/A — INWO uses Plots instead of group income/money</t>
        </is>
      </c>
      <c r="W30" t="inlineStr">
        <is>
          <t>N/A</t>
        </is>
      </c>
      <c r="X30" t="inlineStr">
        <is>
          <t>No card-specific limit (base duplicate rules apply)</t>
        </is>
      </c>
      <c r="Y30" t="inlineStr">
        <is>
          <t>None beyond base rules</t>
        </is>
      </c>
      <c r="Z30" t="inlineStr">
        <is>
          <t>Standard response window</t>
        </is>
      </c>
      <c r="AA30" t="inlineStr">
        <is>
          <t>Specific card overrides general rules</t>
        </is>
      </c>
      <c r="AB30" t="inlineStr">
        <is>
          <t>Full card scan read; behaviour paraphrased (no card text copied)</t>
        </is>
      </c>
      <c r="AC30" t="inlineStr">
        <is>
          <t>FUNCTIONALLY COMPLETE</t>
        </is>
      </c>
      <c r="AD30" t="inlineStr">
        <is>
          <t>None</t>
        </is>
      </c>
      <c r="AE30" t="inlineStr">
        <is>
          <t>Card scan (GitHub: Cha0smagick/Virtual-Illuminati-New-World-order-INWO-game), read Sep 2026</t>
        </is>
      </c>
      <c r="AF30" t="inlineStr">
        <is>
          <t>N/A</t>
        </is>
      </c>
      <c r="AG30" t="inlineStr">
        <is>
          <t>N/A</t>
        </is>
      </c>
      <c r="AH30" t="inlineStr">
        <is>
          <t>N/A</t>
        </is>
      </c>
      <c r="AI30" t="inlineStr">
        <is>
          <t>N/A</t>
        </is>
      </c>
      <c r="AJ30" t="inlineStr">
        <is>
          <t>N/A</t>
        </is>
      </c>
      <c r="AK30" t="inlineStr">
        <is>
          <t>Official rules: non-Group card types do not use normal Group control-arrow geometry.</t>
        </is>
      </c>
    </row>
    <row r="31" ht="34" customHeight="1" s="16">
      <c r="A31" s="20" t="inlineStr">
        <is>
          <t>Political Correctness</t>
        </is>
      </c>
      <c r="B31" s="20" t="inlineStr">
        <is>
          <t>Plot</t>
        </is>
      </c>
      <c r="C31" s="20" t="inlineStr">
        <is>
          <t>NWO</t>
        </is>
      </c>
      <c r="D31" s="20" t="inlineStr">
        <is>
          <t>Uncommon</t>
        </is>
      </c>
      <c r="E31" s="20" t="str"/>
      <c r="F31" s="20" t="str"/>
      <c r="G31" s="20" t="str"/>
      <c r="H31" s="20" t="str"/>
      <c r="I31" s="20" t="inlineStr">
        <is>
          <t>Red New World Order. All Liberal groups get +3 Power. Any Conservative group with a Power of 0 or 1 also becomes Criminal (errata applied; printed card said Power of only 1).</t>
        </is>
      </c>
      <c r="J31" s="20" t="inlineStr">
        <is>
          <t>Needs rules-engine encoding</t>
        </is>
      </c>
      <c r="K31" s="20" t="inlineStr">
        <is>
          <t>High</t>
        </is>
      </c>
      <c r="L31" s="20" t="inlineStr">
        <is>
          <t>NWO color Red (from header). Errata extends the Criminal clause from Power 1 to Power 0 or 1.</t>
        </is>
      </c>
      <c r="M31" s="20" t="inlineStr">
        <is>
          <t>https://github.com/Cha0smagick/Virtual-Illuminati-New-World-order-INWO-game</t>
        </is>
      </c>
      <c r="N31" t="inlineStr">
        <is>
          <t>Played as a New World Order; passive while in play</t>
        </is>
      </c>
      <c r="O31" t="inlineStr">
        <is>
          <t>Liberal groups; Conservative groups with Power 0 or 1</t>
        </is>
      </c>
      <c r="P31" t="inlineStr">
        <is>
          <t>None (standard NWO play)</t>
        </is>
      </c>
      <c r="Q31" t="inlineStr">
        <is>
          <t>Permanent while this NWO remains in play</t>
        </is>
      </c>
      <c r="R31" t="inlineStr">
        <is>
          <t>Liberal: Power +3; Conservative with Power 0 or 1: gains Criminal alignment</t>
        </is>
      </c>
      <c r="S31" t="inlineStr">
        <is>
          <t>NO</t>
        </is>
      </c>
      <c r="T31" t="inlineStr">
        <is>
          <t>N/A</t>
        </is>
      </c>
      <c r="U31" t="inlineStr">
        <is>
          <t>N/A</t>
        </is>
      </c>
      <c r="V31" t="inlineStr">
        <is>
          <t>N/A — INWO uses Plots instead of group income/money</t>
        </is>
      </c>
      <c r="W31" t="inlineStr">
        <is>
          <t>N/A</t>
        </is>
      </c>
      <c r="X31" t="inlineStr">
        <is>
          <t>No card-specific limit (base duplicate rules apply)</t>
        </is>
      </c>
      <c r="Y31" t="inlineStr">
        <is>
          <t>None beyond base rules</t>
        </is>
      </c>
      <c r="Z31" t="inlineStr">
        <is>
          <t>Standard response window</t>
        </is>
      </c>
      <c r="AA31" t="inlineStr">
        <is>
          <t>Specific card overrides general rules</t>
        </is>
      </c>
      <c r="AB31" t="inlineStr">
        <is>
          <t>Full card scan read; behaviour paraphrased (no card text copied)</t>
        </is>
      </c>
      <c r="AC31" t="inlineStr">
        <is>
          <t>FUNCTIONALLY COMPLETE</t>
        </is>
      </c>
      <c r="AD31" t="inlineStr">
        <is>
          <t>None</t>
        </is>
      </c>
      <c r="AE31" t="inlineStr">
        <is>
          <t>Card scan (GitHub: Cha0smagick/Virtual-Illuminati-New-World-order-INWO-game), read Sep 2026</t>
        </is>
      </c>
      <c r="AF31" t="inlineStr">
        <is>
          <t>N/A</t>
        </is>
      </c>
      <c r="AG31" t="inlineStr">
        <is>
          <t>N/A</t>
        </is>
      </c>
      <c r="AH31" t="inlineStr">
        <is>
          <t>N/A</t>
        </is>
      </c>
      <c r="AI31" t="inlineStr">
        <is>
          <t>N/A</t>
        </is>
      </c>
      <c r="AJ31" t="inlineStr">
        <is>
          <t>N/A</t>
        </is>
      </c>
      <c r="AK31" t="inlineStr">
        <is>
          <t>Official rules: non-Group card types do not use normal Group control-arrow geometry.</t>
        </is>
      </c>
    </row>
    <row r="32" ht="34" customHeight="1" s="16">
      <c r="A32" s="20" t="inlineStr">
        <is>
          <t>Solidarity</t>
        </is>
      </c>
      <c r="B32" s="20" t="inlineStr">
        <is>
          <t>Plot</t>
        </is>
      </c>
      <c r="C32" s="20" t="inlineStr">
        <is>
          <t>NWO</t>
        </is>
      </c>
      <c r="D32" s="20" t="inlineStr">
        <is>
          <t>Common</t>
        </is>
      </c>
      <c r="E32" s="20" t="str"/>
      <c r="F32" s="20" t="str"/>
      <c r="G32" s="20" t="str"/>
      <c r="H32" s="20" t="str"/>
      <c r="I32" s="20" t="inlineStr">
        <is>
          <t>Red New World Order. The Resistance of every group is doubled while this is in play.</t>
        </is>
      </c>
      <c r="J32" s="20" t="inlineStr">
        <is>
          <t>Needs rules-engine encoding</t>
        </is>
      </c>
      <c r="K32" s="20" t="inlineStr">
        <is>
          <t>High</t>
        </is>
      </c>
      <c r="L32" s="20" t="inlineStr">
        <is>
          <t>NWO color Red (from header). Order of applying doubling vs. other Resistance modifiers is not specified on the card.</t>
        </is>
      </c>
      <c r="M32" s="20" t="inlineStr">
        <is>
          <t>https://github.com/Cha0smagick/Virtual-Illuminati-New-World-order-INWO-game</t>
        </is>
      </c>
      <c r="N32" t="inlineStr">
        <is>
          <t>Played as a New World Order; passive while in play</t>
        </is>
      </c>
      <c r="O32" t="inlineStr">
        <is>
          <t>All groups</t>
        </is>
      </c>
      <c r="P32" t="inlineStr">
        <is>
          <t>None (standard NWO play)</t>
        </is>
      </c>
      <c r="Q32" t="inlineStr">
        <is>
          <t>Permanent while this NWO remains in play</t>
        </is>
      </c>
      <c r="R32" t="inlineStr">
        <is>
          <t>All groups: Resistance x2</t>
        </is>
      </c>
      <c r="S32" t="inlineStr">
        <is>
          <t>NO</t>
        </is>
      </c>
      <c r="T32" t="inlineStr">
        <is>
          <t>N/A</t>
        </is>
      </c>
      <c r="U32" t="inlineStr">
        <is>
          <t>N/A</t>
        </is>
      </c>
      <c r="V32" t="inlineStr">
        <is>
          <t>N/A — INWO uses Plots instead of group income/money</t>
        </is>
      </c>
      <c r="W32" t="inlineStr">
        <is>
          <t>N/A</t>
        </is>
      </c>
      <c r="X32" t="inlineStr">
        <is>
          <t>No card-specific limit (base duplicate rules apply)</t>
        </is>
      </c>
      <c r="Y32" t="inlineStr">
        <is>
          <t>None beyond base rules</t>
        </is>
      </c>
      <c r="Z32" t="inlineStr">
        <is>
          <t>Standard response window</t>
        </is>
      </c>
      <c r="AA32" t="inlineStr">
        <is>
          <t>Specific card overrides general rules</t>
        </is>
      </c>
      <c r="AB32" t="inlineStr">
        <is>
          <t>Full card scan read; behaviour paraphrased (no card text copied)</t>
        </is>
      </c>
      <c r="AC32" t="inlineStr">
        <is>
          <t>FUNCTIONALLY COMPLETE</t>
        </is>
      </c>
      <c r="AD32" t="inlineStr">
        <is>
          <t>None</t>
        </is>
      </c>
      <c r="AE32" t="inlineStr">
        <is>
          <t>Card scan (GitHub: Cha0smagick/Virtual-Illuminati-New-World-order-INWO-game), read Sep 2026</t>
        </is>
      </c>
      <c r="AF32" t="inlineStr">
        <is>
          <t>N/A</t>
        </is>
      </c>
      <c r="AG32" t="inlineStr">
        <is>
          <t>N/A</t>
        </is>
      </c>
      <c r="AH32" t="inlineStr">
        <is>
          <t>N/A</t>
        </is>
      </c>
      <c r="AI32" t="inlineStr">
        <is>
          <t>N/A</t>
        </is>
      </c>
      <c r="AJ32" t="inlineStr">
        <is>
          <t>N/A</t>
        </is>
      </c>
      <c r="AK32" t="inlineStr">
        <is>
          <t>Official rules: non-Group card types do not use normal Group control-arrow geometry.</t>
        </is>
      </c>
    </row>
    <row r="33" ht="34" customHeight="1" s="16">
      <c r="A33" s="20" t="inlineStr">
        <is>
          <t>Tax Reform</t>
        </is>
      </c>
      <c r="B33" s="20" t="inlineStr">
        <is>
          <t>Plot</t>
        </is>
      </c>
      <c r="C33" s="20" t="inlineStr">
        <is>
          <t>NWO</t>
        </is>
      </c>
      <c r="D33" s="20" t="inlineStr">
        <is>
          <t>Rare</t>
        </is>
      </c>
      <c r="E33" s="20" t="str"/>
      <c r="F33" s="20" t="str"/>
      <c r="G33" s="20" t="str"/>
      <c r="H33" s="20" t="str"/>
      <c r="I33" s="20" t="inlineStr">
        <is>
          <t>Red New World Order. While in play, the IRS's optional once-per-turn tax takes the top Plot card of every rival's Plot deck instead of just one rival's. The IRS also gets +10 to all of its defenses while this is in play.</t>
        </is>
      </c>
      <c r="J33" s="20" t="inlineStr">
        <is>
          <t>Needs rules-engine encoding</t>
        </is>
      </c>
      <c r="K33" s="20" t="inlineStr">
        <is>
          <t>High</t>
        </is>
      </c>
      <c r="L33" s="20" t="inlineStr">
        <is>
          <t>NWO color Red (from header). Assumes the IRS is in play; its controller receives the taxed cards. 'Each player' may include the IRS's own controller.</t>
        </is>
      </c>
      <c r="M33" s="20" t="inlineStr">
        <is>
          <t>https://github.com/Cha0smagick/Virtual-Illuminati-New-World-order-INWO-game</t>
        </is>
      </c>
      <c r="N33" t="inlineStr">
        <is>
          <t>Played as a New World Order; passive while in play</t>
        </is>
      </c>
      <c r="O33" t="inlineStr">
        <is>
          <t>The IRS group; all players' Plot decks</t>
        </is>
      </c>
      <c r="P33" t="inlineStr">
        <is>
          <t>None (standard NWO play)</t>
        </is>
      </c>
      <c r="Q33" t="inlineStr">
        <is>
          <t>Permanent while this NWO remains in play</t>
        </is>
      </c>
      <c r="R33" t="inlineStr">
        <is>
          <t>IRS: at start of controller's turn take 1 Plot from each player's deck; IRS +10 on all defenses</t>
        </is>
      </c>
      <c r="S33" t="inlineStr">
        <is>
          <t>NO</t>
        </is>
      </c>
      <c r="T33" t="inlineStr">
        <is>
          <t>N/A</t>
        </is>
      </c>
      <c r="U33" t="inlineStr">
        <is>
          <t>N/A</t>
        </is>
      </c>
      <c r="V33" t="inlineStr">
        <is>
          <t>N/A — INWO uses Plots instead of group income/money</t>
        </is>
      </c>
      <c r="W33" t="inlineStr">
        <is>
          <t>N/A</t>
        </is>
      </c>
      <c r="X33" t="inlineStr">
        <is>
          <t>No card-specific limit (base duplicate rules apply)</t>
        </is>
      </c>
      <c r="Y33" t="inlineStr">
        <is>
          <t>None beyond base rules</t>
        </is>
      </c>
      <c r="Z33" t="inlineStr">
        <is>
          <t>Standard response window</t>
        </is>
      </c>
      <c r="AA33" t="inlineStr">
        <is>
          <t>Specific card overrides general rules</t>
        </is>
      </c>
      <c r="AB33" t="inlineStr">
        <is>
          <t>Full card scan read; behaviour paraphrased (no card text copied)</t>
        </is>
      </c>
      <c r="AC33" t="inlineStr">
        <is>
          <t>FUNCTIONALLY COMPLETE</t>
        </is>
      </c>
      <c r="AD33" t="inlineStr">
        <is>
          <t>None</t>
        </is>
      </c>
      <c r="AE33" t="inlineStr">
        <is>
          <t>Card scan (GitHub: Cha0smagick/Virtual-Illuminati-New-World-order-INWO-game), read Sep 2026</t>
        </is>
      </c>
      <c r="AF33" t="inlineStr">
        <is>
          <t>N/A</t>
        </is>
      </c>
      <c r="AG33" t="inlineStr">
        <is>
          <t>N/A</t>
        </is>
      </c>
      <c r="AH33" t="inlineStr">
        <is>
          <t>N/A</t>
        </is>
      </c>
      <c r="AI33" t="inlineStr">
        <is>
          <t>N/A</t>
        </is>
      </c>
      <c r="AJ33" t="inlineStr">
        <is>
          <t>N/A</t>
        </is>
      </c>
      <c r="AK33" t="inlineStr">
        <is>
          <t>Official rules: non-Group card types do not use normal Group control-arrow geometry.</t>
        </is>
      </c>
    </row>
    <row r="34" ht="34" customHeight="1" s="16">
      <c r="A34" s="20" t="inlineStr">
        <is>
          <t>World Hunger</t>
        </is>
      </c>
      <c r="B34" s="20" t="inlineStr">
        <is>
          <t>Plot</t>
        </is>
      </c>
      <c r="C34" s="20" t="inlineStr">
        <is>
          <t>NWO</t>
        </is>
      </c>
      <c r="D34" s="20" t="inlineStr">
        <is>
          <t>Common</t>
        </is>
      </c>
      <c r="E34" s="20" t="str"/>
      <c r="F34" s="20" t="str"/>
      <c r="G34" s="20" t="str"/>
      <c r="H34" s="20" t="str"/>
      <c r="I34" s="20" t="inlineStr">
        <is>
          <t>Blue New World Order. All Green groups lose their Action tokens, cannot gain new ones, and cannot use their special abilities. Every group that is Liberal and/or a Nation gets -2 Power.</t>
        </is>
      </c>
      <c r="J34" s="20" t="inlineStr">
        <is>
          <t>Needs rules-engine encoding</t>
        </is>
      </c>
      <c r="K34" s="20" t="inlineStr">
        <is>
          <t>High</t>
        </is>
      </c>
      <c r="L34" s="20" t="inlineStr">
        <is>
          <t>NWO color Blue (from header).</t>
        </is>
      </c>
      <c r="M34" s="20" t="inlineStr">
        <is>
          <t>https://github.com/Cha0smagick/Virtual-Illuminati-New-World-order-INWO-game</t>
        </is>
      </c>
      <c r="N34" t="inlineStr">
        <is>
          <t>Played as a New World Order; passive while in play</t>
        </is>
      </c>
      <c r="O34" t="inlineStr">
        <is>
          <t>Green groups; Liberal groups; Nations</t>
        </is>
      </c>
      <c r="P34" t="inlineStr">
        <is>
          <t>None (standard NWO play)</t>
        </is>
      </c>
      <c r="Q34" t="inlineStr">
        <is>
          <t>Permanent while this NWO remains in play</t>
        </is>
      </c>
      <c r="R34" t="inlineStr">
        <is>
          <t>Green: remove action tokens, cannot gain tokens, special abilities disabled; Liberal and/or Nation: Power -2 (once)</t>
        </is>
      </c>
      <c r="S34" t="inlineStr">
        <is>
          <t>NO</t>
        </is>
      </c>
      <c r="T34" t="inlineStr">
        <is>
          <t>N/A</t>
        </is>
      </c>
      <c r="U34" t="inlineStr">
        <is>
          <t>N/A</t>
        </is>
      </c>
      <c r="V34" t="inlineStr">
        <is>
          <t>N/A — INWO uses Plots instead of group income/money</t>
        </is>
      </c>
      <c r="W34" t="inlineStr">
        <is>
          <t>N/A</t>
        </is>
      </c>
      <c r="X34" t="inlineStr">
        <is>
          <t>No card-specific limit (base duplicate rules apply)</t>
        </is>
      </c>
      <c r="Y34" t="inlineStr">
        <is>
          <t>None beyond base rules</t>
        </is>
      </c>
      <c r="Z34" t="inlineStr">
        <is>
          <t>Standard response window</t>
        </is>
      </c>
      <c r="AA34" t="inlineStr">
        <is>
          <t>Specific card overrides general rules</t>
        </is>
      </c>
      <c r="AB34" t="inlineStr">
        <is>
          <t>Full card scan read; behaviour paraphrased (no card text copied)</t>
        </is>
      </c>
      <c r="AC34" t="inlineStr">
        <is>
          <t>FUNCTIONALLY COMPLETE</t>
        </is>
      </c>
      <c r="AD34" t="inlineStr">
        <is>
          <t>None</t>
        </is>
      </c>
      <c r="AE34" t="inlineStr">
        <is>
          <t>Card scan (GitHub: Cha0smagick/Virtual-Illuminati-New-World-order-INWO-game), read Sep 2026</t>
        </is>
      </c>
      <c r="AF34" t="inlineStr">
        <is>
          <t>N/A</t>
        </is>
      </c>
      <c r="AG34" t="inlineStr">
        <is>
          <t>N/A</t>
        </is>
      </c>
      <c r="AH34" t="inlineStr">
        <is>
          <t>N/A</t>
        </is>
      </c>
      <c r="AI34" t="inlineStr">
        <is>
          <t>N/A</t>
        </is>
      </c>
      <c r="AJ34" t="inlineStr">
        <is>
          <t>N/A</t>
        </is>
      </c>
      <c r="AK34" t="inlineStr">
        <is>
          <t>Official rules: non-Group card types do not use normal Group control-arrow geometry.</t>
        </is>
      </c>
    </row>
    <row r="35" ht="34" customHeight="1" s="16">
      <c r="A35" s="20" t="inlineStr">
        <is>
          <t>World War Three</t>
        </is>
      </c>
      <c r="B35" s="20" t="inlineStr">
        <is>
          <t>Plot</t>
        </is>
      </c>
      <c r="C35" s="20" t="inlineStr">
        <is>
          <t>NWO</t>
        </is>
      </c>
      <c r="D35" s="20" t="inlineStr">
        <is>
          <t>Rare</t>
        </is>
      </c>
      <c r="E35" s="20" t="str"/>
      <c r="F35" s="20" t="str"/>
      <c r="G35" s="20" t="str"/>
      <c r="H35" s="20" t="str"/>
      <c r="I35" s="20" t="inlineStr">
        <is>
          <t>Yellow New World Order. When a Nation leads an Attack to Destroy against a different Nation, triple the attacker's Power. On a success, the attacking Nation's owner draws a Plot card at once and that Nation receives an extra Action token. On a failure, the attacking Nation is itself destroyed, and the defending player counts it toward his victory conditions.</t>
        </is>
      </c>
      <c r="J35" s="20" t="inlineStr">
        <is>
          <t>Needs rules-engine encoding</t>
        </is>
      </c>
      <c r="K35" s="20" t="inlineStr">
        <is>
          <t>High</t>
        </is>
      </c>
      <c r="L35" s="20" t="inlineStr">
        <is>
          <t>NWO color Yellow (from header). Assumes 'gets a Plot card' means draw one.</t>
        </is>
      </c>
      <c r="M35" s="20" t="inlineStr">
        <is>
          <t>https://github.com/Cha0smagick/Virtual-Illuminati-New-World-order-INWO-game</t>
        </is>
      </c>
      <c r="N35" t="inlineStr">
        <is>
          <t>Played as a New World Order; passive while in play</t>
        </is>
      </c>
      <c r="O35" t="inlineStr">
        <is>
          <t>Direct attacks to destroy made by a Nation against a Nation</t>
        </is>
      </c>
      <c r="P35" t="inlineStr">
        <is>
          <t>None (standard NWO play)</t>
        </is>
      </c>
      <c r="Q35" t="inlineStr">
        <is>
          <t>Permanent while this NWO remains in play</t>
        </is>
      </c>
      <c r="R35" t="inlineStr">
        <is>
          <t>Attacking Nation Power x3; success: +1 Plot card and +1 Action token for attacker; failure: attacker destroyed, credited to defender</t>
        </is>
      </c>
      <c r="S35" t="inlineStr">
        <is>
          <t>NO</t>
        </is>
      </c>
      <c r="T35" t="inlineStr">
        <is>
          <t>N/A</t>
        </is>
      </c>
      <c r="U35" t="inlineStr">
        <is>
          <t>N/A</t>
        </is>
      </c>
      <c r="V35" t="inlineStr">
        <is>
          <t>N/A — INWO uses Plots instead of group income/money</t>
        </is>
      </c>
      <c r="W35" t="inlineStr">
        <is>
          <t>N/A</t>
        </is>
      </c>
      <c r="X35" t="inlineStr">
        <is>
          <t>No card-specific limit (base duplicate rules apply)</t>
        </is>
      </c>
      <c r="Y35" t="inlineStr">
        <is>
          <t>None beyond base rules</t>
        </is>
      </c>
      <c r="Z35" t="inlineStr">
        <is>
          <t>Standard response window</t>
        </is>
      </c>
      <c r="AA35" t="inlineStr">
        <is>
          <t>Specific card overrides general rules</t>
        </is>
      </c>
      <c r="AB35" t="inlineStr">
        <is>
          <t>Full card scan read; behaviour paraphrased (no card text copied)</t>
        </is>
      </c>
      <c r="AC35" t="inlineStr">
        <is>
          <t>FUNCTIONALLY COMPLETE</t>
        </is>
      </c>
      <c r="AD35" t="inlineStr">
        <is>
          <t>None</t>
        </is>
      </c>
      <c r="AE35" t="inlineStr">
        <is>
          <t>Card scan (GitHub: Cha0smagick/Virtual-Illuminati-New-World-order-INWO-game), read Sep 2026</t>
        </is>
      </c>
      <c r="AF35" t="inlineStr">
        <is>
          <t>N/A</t>
        </is>
      </c>
      <c r="AG35" t="inlineStr">
        <is>
          <t>N/A</t>
        </is>
      </c>
      <c r="AH35" t="inlineStr">
        <is>
          <t>N/A</t>
        </is>
      </c>
      <c r="AI35" t="inlineStr">
        <is>
          <t>N/A</t>
        </is>
      </c>
      <c r="AJ35" t="inlineStr">
        <is>
          <t>N/A</t>
        </is>
      </c>
      <c r="AK35" t="inlineStr">
        <is>
          <t>Official rules: non-Group card types do not use normal Group control-arrow geometry.</t>
        </is>
      </c>
    </row>
    <row r="36" ht="34" customHeight="1" s="16">
      <c r="A36" s="20" t="inlineStr">
        <is>
          <t>A.M.A.</t>
        </is>
      </c>
      <c r="B36" s="20" t="inlineStr">
        <is>
          <t>Group</t>
        </is>
      </c>
      <c r="C36" s="20" t="inlineStr">
        <is>
          <t>Organization</t>
        </is>
      </c>
      <c r="D36" s="20" t="inlineStr">
        <is>
          <t>Common</t>
        </is>
      </c>
      <c r="E36" s="20" t="inlineStr">
        <is>
          <t>3</t>
        </is>
      </c>
      <c r="F36" s="20" t="inlineStr">
        <is>
          <t>4</t>
        </is>
      </c>
      <c r="G36" s="20" t="inlineStr">
        <is>
          <t>Peaceful, Conservative</t>
        </is>
      </c>
      <c r="H36" s="20" t="inlineStr">
        <is>
          <t>Science</t>
        </is>
      </c>
      <c r="I36" s="20" t="inlineStr">
        <is>
          <t>May aid or oppose any attack on a Science group whatever the alignments; +5 when it directly attacks a Science group, and +5 when it helps attack or defend one.</t>
        </is>
      </c>
      <c r="J36" s="20" t="inlineStr">
        <is>
          <t>Needs rules-engine encoding</t>
        </is>
      </c>
      <c r="K36" s="20" t="inlineStr">
        <is>
          <t>High</t>
        </is>
      </c>
      <c r="L36" s="20" t="inlineStr">
        <is>
          <t>Mechanics and outgoing-arrow count checked against the printed card; described in our own words. Exact physical edge placement tracked separately.</t>
        </is>
      </c>
      <c r="M36" s="20" t="inlineStr">
        <is>
          <t>https://www.scribd.com/document/851089808/TheINWOBook</t>
        </is>
      </c>
      <c r="N36" t="inlineStr">
        <is>
          <t>Passive or activated special ability</t>
        </is>
      </c>
      <c r="O36" t="inlineStr">
        <is>
          <t>Per card ability</t>
        </is>
      </c>
      <c r="Q36" t="inlineStr">
        <is>
          <t>While controlled / per effect</t>
        </is>
      </c>
      <c r="R36" t="inlineStr">
        <is>
          <t>May aid or oppose any attack on a Science group whatever the alignments; +5 when it directly attacks a Science group, and +5 when it helps attack or defend one.</t>
        </is>
      </c>
      <c r="S36" t="inlineStr">
        <is>
          <t>NO</t>
        </is>
      </c>
      <c r="T36" t="inlineStr">
        <is>
          <t>1 incoming control arrow</t>
        </is>
      </c>
      <c r="U36" t="n">
        <v>2</v>
      </c>
      <c r="V36" t="inlineStr">
        <is>
          <t>N/A — INWO uses Plots instead of group income/money</t>
        </is>
      </c>
      <c r="W36" t="inlineStr">
        <is>
          <t>Standard: 1 action token (Illuminati: 1 Illuminati action); verified mechanics state no override</t>
        </is>
      </c>
      <c r="X36" t="inlineStr">
        <is>
          <t>One copy in play at a time; spare copies act as hidden agents vs. a rival's copy; a destroyed Group cannot be replayed unless a card returns it (base rule)</t>
        </is>
      </c>
      <c r="Y36" t="inlineStr">
        <is>
          <t>None beyond base rules (verified mechanics state no override)</t>
        </is>
      </c>
      <c r="Z36" t="inlineStr">
        <is>
          <t>Standard response window (verified mechanics state no override)</t>
        </is>
      </c>
      <c r="AA36" t="inlineStr">
        <is>
          <t>Specific card overrides general rules</t>
        </is>
      </c>
      <c r="AB36" t="inlineStr">
        <is>
          <t>Indexed INWO Book, Groups section</t>
        </is>
      </c>
      <c r="AC36" t="inlineStr">
        <is>
          <t>FUNCTIONALLY COMPLETE</t>
        </is>
      </c>
      <c r="AE36" t="inlineStr">
        <is>
          <t>Indexed INWO Book / historical cross-check</t>
        </is>
      </c>
      <c r="AF36" t="inlineStr">
        <is>
          <t>EXACT EDGE POSITIONS VERIFIED</t>
        </is>
      </c>
      <c r="AG36" t="inlineStr">
        <is>
          <t>Verified from supplied original-card scan: Groups/INWO - A.M.A..png. Triangle orientation establishes IN=TOP, OUT=LEFT, RIGHT.</t>
        </is>
      </c>
      <c r="AH36" t="inlineStr">
        <is>
          <t>TOP</t>
        </is>
      </c>
      <c r="AI36" t="inlineStr">
        <is>
          <t>LEFT, RIGHT</t>
        </is>
      </c>
      <c r="AJ36" t="inlineStr">
        <is>
          <t>VERIFIED</t>
        </is>
      </c>
      <c r="AK36" t="inlineStr">
        <is>
          <t>Verified from supplied original-card scan: Groups/INWO - A.M.A..png. Triangle orientation establishes IN=TOP, OUT=LEFT, RIGHT.</t>
        </is>
      </c>
    </row>
    <row r="37" ht="34" customHeight="1" s="16">
      <c r="A37" s="20" t="inlineStr">
        <is>
          <t>American Autoduel Association</t>
        </is>
      </c>
      <c r="B37" s="20" t="inlineStr">
        <is>
          <t>Group</t>
        </is>
      </c>
      <c r="C37" s="20" t="inlineStr">
        <is>
          <t>Organization</t>
        </is>
      </c>
      <c r="D37" s="20" t="inlineStr">
        <is>
          <t>Common</t>
        </is>
      </c>
      <c r="E37" s="20" t="inlineStr">
        <is>
          <t>1</t>
        </is>
      </c>
      <c r="F37" s="20" t="inlineStr">
        <is>
          <t>5</t>
        </is>
      </c>
      <c r="G37" s="20" t="inlineStr">
        <is>
          <t>Violent, Weird</t>
        </is>
      </c>
      <c r="H37" s="20" t="str"/>
      <c r="I37" s="20" t="inlineStr">
        <is>
          <t>+4 to attempts to destroy Violent groups instead of the usual same-alignment penalty; may aid such destruction attempts at +4.</t>
        </is>
      </c>
      <c r="J37" s="20" t="inlineStr">
        <is>
          <t>Needs rules-engine encoding</t>
        </is>
      </c>
      <c r="K37" s="20" t="inlineStr">
        <is>
          <t>High</t>
        </is>
      </c>
      <c r="L37" s="20" t="inlineStr">
        <is>
          <t>Mechanics and outgoing-arrow count checked against the printed card; described in our own words. Exact physical edge placement tracked separately.</t>
        </is>
      </c>
      <c r="M37" s="20" t="inlineStr">
        <is>
          <t>https://www.scribd.com/document/851089808/TheINWOBook</t>
        </is>
      </c>
      <c r="N37" t="inlineStr">
        <is>
          <t>Passive or activated special ability</t>
        </is>
      </c>
      <c r="O37" t="inlineStr">
        <is>
          <t>Per card ability</t>
        </is>
      </c>
      <c r="Q37" t="inlineStr">
        <is>
          <t>While controlled / per effect</t>
        </is>
      </c>
      <c r="R37" t="inlineStr">
        <is>
          <t>+4 to attempts to destroy Violent groups instead of the usual same-alignment penalty; may aid such destruction attempts at +4.</t>
        </is>
      </c>
      <c r="S37" t="inlineStr">
        <is>
          <t>NO</t>
        </is>
      </c>
      <c r="T37" t="inlineStr">
        <is>
          <t>1 incoming control arrow</t>
        </is>
      </c>
      <c r="U37" t="n">
        <v>1</v>
      </c>
      <c r="V37" t="inlineStr">
        <is>
          <t>N/A — INWO uses Plots instead of group income/money</t>
        </is>
      </c>
      <c r="W37" t="inlineStr">
        <is>
          <t>Standard: 1 action token (Illuminati: 1 Illuminati action); verified mechanics state no override</t>
        </is>
      </c>
      <c r="X37" t="inlineStr">
        <is>
          <t>One copy in play at a time; spare copies act as hidden agents vs. a rival's copy; a destroyed Group cannot be replayed unless a card returns it (base rule)</t>
        </is>
      </c>
      <c r="Y37" t="inlineStr">
        <is>
          <t>None beyond base rules (verified mechanics state no override)</t>
        </is>
      </c>
      <c r="Z37" t="inlineStr">
        <is>
          <t>Standard response window (verified mechanics state no override)</t>
        </is>
      </c>
      <c r="AA37" t="inlineStr">
        <is>
          <t>Specific card overrides general rules</t>
        </is>
      </c>
      <c r="AB37" t="inlineStr">
        <is>
          <t>Indexed INWO Book, Groups section</t>
        </is>
      </c>
      <c r="AC37" t="inlineStr">
        <is>
          <t>FUNCTIONALLY COMPLETE</t>
        </is>
      </c>
      <c r="AE37" t="inlineStr">
        <is>
          <t>Indexed INWO Book / historical cross-check</t>
        </is>
      </c>
      <c r="AF37" t="inlineStr">
        <is>
          <t>EXACT EDGE POSITIONS VERIFIED</t>
        </is>
      </c>
      <c r="AG37" t="inlineStr">
        <is>
          <t>Verified from supplied original-card scan: Groups/INWO - American Autoduel Association.png. Triangle orientation establishes IN=TOP, OUT=BOTTOM.</t>
        </is>
      </c>
      <c r="AH37" t="inlineStr">
        <is>
          <t>TOP</t>
        </is>
      </c>
      <c r="AI37" t="inlineStr">
        <is>
          <t>BOTTOM</t>
        </is>
      </c>
      <c r="AJ37" t="inlineStr">
        <is>
          <t>VERIFIED</t>
        </is>
      </c>
      <c r="AK37" t="inlineStr">
        <is>
          <t>Verified from supplied original-card scan: Groups/INWO - American Autoduel Association.png. Triangle orientation establishes IN=TOP, OUT=BOTTOM.</t>
        </is>
      </c>
    </row>
    <row r="38" ht="34" customHeight="1" s="16">
      <c r="A38" s="20" t="inlineStr">
        <is>
          <t>Anti-Nuclear Activists</t>
        </is>
      </c>
      <c r="B38" s="20" t="inlineStr">
        <is>
          <t>Group</t>
        </is>
      </c>
      <c r="C38" s="20" t="inlineStr">
        <is>
          <t>Organization</t>
        </is>
      </c>
      <c r="D38" s="20" t="inlineStr">
        <is>
          <t>Common</t>
        </is>
      </c>
      <c r="E38" s="20" t="inlineStr">
        <is>
          <t>2</t>
        </is>
      </c>
      <c r="F38" s="20" t="inlineStr">
        <is>
          <t>5</t>
        </is>
      </c>
      <c r="G38" s="20" t="inlineStr">
        <is>
          <t>Liberal</t>
        </is>
      </c>
      <c r="H38" s="20" t="inlineStr">
        <is>
          <t>Green</t>
        </is>
      </c>
      <c r="I38" s="20" t="inlineStr">
        <is>
          <t>+6 on any destruction attempt against a Science group; +4 on any control attempt against a Green group; any attempt against Nuclear Power Companies gets +10 instead of those bonuses.</t>
        </is>
      </c>
      <c r="J38" s="20" t="inlineStr">
        <is>
          <t>Needs rules-engine encoding</t>
        </is>
      </c>
      <c r="K38" s="20" t="inlineStr">
        <is>
          <t>High</t>
        </is>
      </c>
      <c r="L38" s="20" t="inlineStr">
        <is>
          <t>Mechanics and outgoing-arrow count checked against the printed card; described in our own words. Exact physical edge placement tracked separately.</t>
        </is>
      </c>
      <c r="M38" s="20" t="inlineStr">
        <is>
          <t>https://www.scribd.com/document/851089808/TheINWOBook</t>
        </is>
      </c>
      <c r="N38" t="inlineStr">
        <is>
          <t>Passive or activated special ability</t>
        </is>
      </c>
      <c r="O38" t="inlineStr">
        <is>
          <t>Per card ability</t>
        </is>
      </c>
      <c r="Q38" t="inlineStr">
        <is>
          <t>While controlled / per effect</t>
        </is>
      </c>
      <c r="R38" t="inlineStr">
        <is>
          <t>+6 on any destruction attempt against a Science group; +4 on any control attempt against a Green group; any attempt against Nuclear Power Companies gets +10 instead of those bonuses.</t>
        </is>
      </c>
      <c r="S38" t="inlineStr">
        <is>
          <t>NO</t>
        </is>
      </c>
      <c r="T38" t="inlineStr">
        <is>
          <t>1 incoming control arrow</t>
        </is>
      </c>
      <c r="U38" t="n">
        <v>1</v>
      </c>
      <c r="V38" t="inlineStr">
        <is>
          <t>N/A — INWO uses Plots instead of group income/money</t>
        </is>
      </c>
      <c r="W38" t="inlineStr">
        <is>
          <t>Standard: 1 action token (Illuminati: 1 Illuminati action); verified mechanics state no override</t>
        </is>
      </c>
      <c r="X38" t="inlineStr">
        <is>
          <t>One copy in play at a time; spare copies act as hidden agents vs. a rival's copy; a destroyed Group cannot be replayed unless a card returns it (base rule)</t>
        </is>
      </c>
      <c r="Y38" t="inlineStr">
        <is>
          <t>None beyond base rules (verified mechanics state no override)</t>
        </is>
      </c>
      <c r="Z38" t="inlineStr">
        <is>
          <t>Standard response window (verified mechanics state no override)</t>
        </is>
      </c>
      <c r="AA38" t="inlineStr">
        <is>
          <t>Specific card overrides general rules</t>
        </is>
      </c>
      <c r="AB38" t="inlineStr">
        <is>
          <t>Indexed INWO Book, Groups section</t>
        </is>
      </c>
      <c r="AC38" t="inlineStr">
        <is>
          <t>FUNCTIONALLY COMPLETE</t>
        </is>
      </c>
      <c r="AE38" t="inlineStr">
        <is>
          <t>Indexed INWO Book / historical cross-check</t>
        </is>
      </c>
      <c r="AF38" t="inlineStr">
        <is>
          <t>EXACT EDGE POSITIONS VERIFIED</t>
        </is>
      </c>
      <c r="AG38" t="inlineStr">
        <is>
          <t>Verified from supplied original-card scan: Groups/INWO - Anti-Nuclear Activists.png. Triangle orientation establishes IN=TOP, OUT=RIGHT.</t>
        </is>
      </c>
      <c r="AH38" t="inlineStr">
        <is>
          <t>TOP</t>
        </is>
      </c>
      <c r="AI38" t="inlineStr">
        <is>
          <t>RIGHT</t>
        </is>
      </c>
      <c r="AJ38" t="inlineStr">
        <is>
          <t>VERIFIED</t>
        </is>
      </c>
      <c r="AK38" t="inlineStr">
        <is>
          <t>Verified from supplied original-card scan: Groups/INWO - Anti-Nuclear Activists.png. Triangle orientation establishes IN=TOP, OUT=RIGHT.</t>
        </is>
      </c>
    </row>
    <row r="39" ht="34" customHeight="1" s="16">
      <c r="A39" s="20" t="inlineStr">
        <is>
          <t>Anti-War Activists</t>
        </is>
      </c>
      <c r="B39" s="20" t="inlineStr">
        <is>
          <t>Group</t>
        </is>
      </c>
      <c r="C39" s="20" t="inlineStr">
        <is>
          <t>Organization</t>
        </is>
      </c>
      <c r="D39" s="20" t="inlineStr">
        <is>
          <t>Rare</t>
        </is>
      </c>
      <c r="E39" s="20" t="inlineStr">
        <is>
          <t>1/1</t>
        </is>
      </c>
      <c r="F39" s="20" t="inlineStr">
        <is>
          <t>3</t>
        </is>
      </c>
      <c r="G39" s="20" t="inlineStr">
        <is>
          <t>Peaceful, Liberal</t>
        </is>
      </c>
      <c r="H39" s="20" t="n"/>
      <c r="I39" s="20" t="inlineStr">
        <is>
          <t>While in play, every group in your Power Structure gets an additional +4 Resistance against any attack made by a Government group or aided by one. (Resistance only counts against Attacks to Control.)</t>
        </is>
      </c>
      <c r="J39" s="20" t="inlineStr">
        <is>
          <t>Needs rules-engine encoding</t>
        </is>
      </c>
      <c r="K39" s="20" t="inlineStr">
        <is>
          <t>High</t>
        </is>
      </c>
      <c r="L39" s="20" t="inlineStr">
        <is>
          <t>Printed name is 'Antiwar Activists'. One incoming control arrow, no outgoing arrows visible. No attribute printed beyond group type; subtype from input.</t>
        </is>
      </c>
      <c r="M39" s="20" t="inlineStr">
        <is>
          <t>https://github.com/Cha0smagick/Virtual-Illuminati-New-World-order-INWO-game</t>
        </is>
      </c>
      <c r="N39" t="inlineStr">
        <is>
          <t>Passive while in play</t>
        </is>
      </c>
      <c r="O39" t="inlineStr">
        <is>
          <t>All groups in your Power Structure</t>
        </is>
      </c>
      <c r="P39" t="inlineStr">
        <is>
          <t>None</t>
        </is>
      </c>
      <c r="Q39" t="inlineStr">
        <is>
          <t>Permanent while in play</t>
        </is>
      </c>
      <c r="R39" t="inlineStr">
        <is>
          <t>+4 Resistance vs attacks made or aided by a Government group</t>
        </is>
      </c>
      <c r="S39" t="inlineStr">
        <is>
          <t>NO</t>
        </is>
      </c>
      <c r="T39" t="inlineStr">
        <is>
          <t>1 incoming control arrow</t>
        </is>
      </c>
      <c r="U39" t="n">
        <v>0</v>
      </c>
      <c r="V39" t="inlineStr">
        <is>
          <t>N/A — INWO uses Plots instead of group income/money</t>
        </is>
      </c>
      <c r="W39" t="inlineStr">
        <is>
          <t>Normal (1 action token)</t>
        </is>
      </c>
      <c r="X39" t="inlineStr">
        <is>
          <t>No card-specific limit (base duplicate rules apply)</t>
        </is>
      </c>
      <c r="Y39" t="inlineStr">
        <is>
          <t>None beyond base rules</t>
        </is>
      </c>
      <c r="Z39" t="inlineStr">
        <is>
          <t>Standard response window</t>
        </is>
      </c>
      <c r="AA39" t="inlineStr">
        <is>
          <t>Specific card overrides general rules</t>
        </is>
      </c>
      <c r="AB39" t="inlineStr">
        <is>
          <t>Full card scan read; behaviour paraphrased (no card text copied)</t>
        </is>
      </c>
      <c r="AC39" t="inlineStr">
        <is>
          <t>FUNCTIONALLY COMPLETE</t>
        </is>
      </c>
      <c r="AD39" t="inlineStr">
        <is>
          <t>None</t>
        </is>
      </c>
      <c r="AE39" t="inlineStr">
        <is>
          <t>Card scan (GitHub: Cha0smagick/Virtual-Illuminati-New-World-order-INWO-game), read Sep 2026</t>
        </is>
      </c>
      <c r="AF39" t="inlineStr">
        <is>
          <t>EXACT EDGE POSITIONS VERIFIED</t>
        </is>
      </c>
      <c r="AG39" t="inlineStr">
        <is>
          <t>Verified from supplied original-card scan: Groups/INWO - Antiwar Activists.png. Triangle orientation establishes IN=TOP, OUT=NONE.</t>
        </is>
      </c>
      <c r="AH39" t="inlineStr">
        <is>
          <t>TOP</t>
        </is>
      </c>
      <c r="AI39" t="inlineStr">
        <is>
          <t>NONE</t>
        </is>
      </c>
      <c r="AJ39" t="inlineStr">
        <is>
          <t>VERIFIED</t>
        </is>
      </c>
      <c r="AK39" t="inlineStr">
        <is>
          <t>Verified from supplied original-card scan: Groups/INWO - Antiwar Activists.png. Triangle orientation establishes IN=TOP, OUT=NONE.</t>
        </is>
      </c>
    </row>
    <row r="40" ht="34" customHeight="1" s="16">
      <c r="A40" s="20" t="inlineStr">
        <is>
          <t>Bank of England</t>
        </is>
      </c>
      <c r="B40" s="20" t="inlineStr">
        <is>
          <t>Group</t>
        </is>
      </c>
      <c r="C40" s="20" t="inlineStr">
        <is>
          <t>Organization</t>
        </is>
      </c>
      <c r="D40" s="20" t="inlineStr">
        <is>
          <t>Rare</t>
        </is>
      </c>
      <c r="E40" s="20" t="inlineStr">
        <is>
          <t>3</t>
        </is>
      </c>
      <c r="F40" s="20" t="inlineStr">
        <is>
          <t>6</t>
        </is>
      </c>
      <c r="G40" s="20" t="inlineStr">
        <is>
          <t>Straight, Government</t>
        </is>
      </c>
      <c r="H40" s="20" t="inlineStr">
        <is>
          <t>Bank</t>
        </is>
      </c>
      <c r="I40" s="20" t="inlineStr">
        <is>
          <t>May spend its action at any time to draw two Plot cards.</t>
        </is>
      </c>
      <c r="J40" s="20" t="inlineStr">
        <is>
          <t>Needs rules-engine encoding</t>
        </is>
      </c>
      <c r="K40" s="20" t="inlineStr">
        <is>
          <t>High</t>
        </is>
      </c>
      <c r="L40" s="20" t="inlineStr">
        <is>
          <t>Mechanics and outgoing-arrow count checked against the printed card; described in our own words. Exact physical edge placement tracked separately.</t>
        </is>
      </c>
      <c r="M40" s="20" t="inlineStr">
        <is>
          <t>https://www.scribd.com/document/851089808/TheINWOBook</t>
        </is>
      </c>
      <c r="N40" t="inlineStr">
        <is>
          <t>Passive or activated special ability</t>
        </is>
      </c>
      <c r="O40" t="inlineStr">
        <is>
          <t>Per card ability</t>
        </is>
      </c>
      <c r="Q40" t="inlineStr">
        <is>
          <t>While controlled / per effect</t>
        </is>
      </c>
      <c r="R40" t="inlineStr">
        <is>
          <t>May spend its action at any time to draw two Plot cards.</t>
        </is>
      </c>
      <c r="S40" t="inlineStr">
        <is>
          <t>NO</t>
        </is>
      </c>
      <c r="T40" t="inlineStr">
        <is>
          <t>1 incoming control arrow</t>
        </is>
      </c>
      <c r="U40" t="n">
        <v>1</v>
      </c>
      <c r="V40" t="inlineStr">
        <is>
          <t>N/A — INWO uses Plots instead of group income/money</t>
        </is>
      </c>
      <c r="W40" t="inlineStr">
        <is>
          <t>Standard: 1 action token (Illuminati: 1 Illuminati action); verified mechanics state no override</t>
        </is>
      </c>
      <c r="X40" t="inlineStr">
        <is>
          <t>One copy in play at a time; spare copies act as hidden agents vs. a rival's copy; a destroyed Group cannot be replayed unless a card returns it (base rule)</t>
        </is>
      </c>
      <c r="Y40" t="inlineStr">
        <is>
          <t>None beyond base rules (verified mechanics state no override)</t>
        </is>
      </c>
      <c r="Z40" t="inlineStr">
        <is>
          <t>Standard response window (verified mechanics state no override)</t>
        </is>
      </c>
      <c r="AA40" t="inlineStr">
        <is>
          <t>Specific card overrides general rules</t>
        </is>
      </c>
      <c r="AB40" t="inlineStr">
        <is>
          <t>Indexed INWO Book, Groups section</t>
        </is>
      </c>
      <c r="AC40" t="inlineStr">
        <is>
          <t>FUNCTIONALLY COMPLETE</t>
        </is>
      </c>
      <c r="AE40" t="inlineStr">
        <is>
          <t>Indexed INWO Book / historical cross-check</t>
        </is>
      </c>
      <c r="AF40" t="inlineStr">
        <is>
          <t>EXACT EDGE POSITIONS VERIFIED</t>
        </is>
      </c>
      <c r="AG40" t="inlineStr">
        <is>
          <t>Verified from supplied original-card scan: Groups/INWO - Bank of England.png. Triangle orientation establishes IN=TOP, OUT=LEFT.</t>
        </is>
      </c>
      <c r="AH40" t="inlineStr">
        <is>
          <t>TOP</t>
        </is>
      </c>
      <c r="AI40" t="inlineStr">
        <is>
          <t>LEFT</t>
        </is>
      </c>
      <c r="AJ40" t="inlineStr">
        <is>
          <t>VERIFIED</t>
        </is>
      </c>
      <c r="AK40" t="inlineStr">
        <is>
          <t>Verified from supplied original-card scan: Groups/INWO - Bank of England.png. Triangle orientation establishes IN=TOP, OUT=LEFT.</t>
        </is>
      </c>
    </row>
    <row r="41" ht="34" customHeight="1" s="16">
      <c r="A41" s="20" t="inlineStr">
        <is>
          <t>B.A.T.F.</t>
        </is>
      </c>
      <c r="B41" s="20" t="inlineStr">
        <is>
          <t>Group</t>
        </is>
      </c>
      <c r="C41" s="20" t="inlineStr">
        <is>
          <t>Organization</t>
        </is>
      </c>
      <c r="D41" s="20" t="inlineStr">
        <is>
          <t>Uncommon</t>
        </is>
      </c>
      <c r="E41" s="20" t="inlineStr">
        <is>
          <t>3</t>
        </is>
      </c>
      <c r="F41" s="20" t="inlineStr">
        <is>
          <t>2</t>
        </is>
      </c>
      <c r="G41" s="20" t="inlineStr">
        <is>
          <t>Violent, Government</t>
        </is>
      </c>
      <c r="H41" s="20" t="str"/>
      <c r="I41" s="20" t="inlineStr">
        <is>
          <t>+8 when it directly attacks to destroy a Fanatic group; +6 on any control or destruction attempt against Gun Lobby, Tobacco Companies, or Liquor Companies.</t>
        </is>
      </c>
      <c r="J41" s="20" t="inlineStr">
        <is>
          <t>Needs rules-engine encoding</t>
        </is>
      </c>
      <c r="K41" s="20" t="inlineStr">
        <is>
          <t>High</t>
        </is>
      </c>
      <c r="L41" s="20" t="inlineStr">
        <is>
          <t>Mechanics and outgoing-arrow count checked against the printed card; described in our own words. Exact physical edge placement tracked separately.</t>
        </is>
      </c>
      <c r="M41" s="20" t="inlineStr">
        <is>
          <t>https://www.scribd.com/document/851089808/TheINWOBook</t>
        </is>
      </c>
      <c r="N41" t="inlineStr">
        <is>
          <t>Passive or activated special ability</t>
        </is>
      </c>
      <c r="O41" t="inlineStr">
        <is>
          <t>Per card ability</t>
        </is>
      </c>
      <c r="Q41" t="inlineStr">
        <is>
          <t>While controlled / per effect</t>
        </is>
      </c>
      <c r="R41" t="inlineStr">
        <is>
          <t>+8 when it directly attacks to destroy a Fanatic group; +6 on any control or destruction attempt against Gun Lobby, Tobacco Companies, or Liquor Companies.</t>
        </is>
      </c>
      <c r="S41" t="inlineStr">
        <is>
          <t>NO</t>
        </is>
      </c>
      <c r="T41" t="inlineStr">
        <is>
          <t>1 incoming control arrow</t>
        </is>
      </c>
      <c r="U41" t="n">
        <v>1</v>
      </c>
      <c r="V41" t="inlineStr">
        <is>
          <t>N/A — INWO uses Plots instead of group income/money</t>
        </is>
      </c>
      <c r="W41" t="inlineStr">
        <is>
          <t>Standard: 1 action token (Illuminati: 1 Illuminati action); verified mechanics state no override</t>
        </is>
      </c>
      <c r="X41" t="inlineStr">
        <is>
          <t>One copy in play at a time; spare copies act as hidden agents vs. a rival's copy; a destroyed Group cannot be replayed unless a card returns it (base rule)</t>
        </is>
      </c>
      <c r="Y41" t="inlineStr">
        <is>
          <t>None beyond base rules (verified mechanics state no override)</t>
        </is>
      </c>
      <c r="Z41" t="inlineStr">
        <is>
          <t>Standard response window (verified mechanics state no override)</t>
        </is>
      </c>
      <c r="AA41" t="inlineStr">
        <is>
          <t>Specific card overrides general rules</t>
        </is>
      </c>
      <c r="AB41" t="inlineStr">
        <is>
          <t>Indexed INWO Book, Groups section</t>
        </is>
      </c>
      <c r="AC41" t="inlineStr">
        <is>
          <t>FUNCTIONALLY COMPLETE</t>
        </is>
      </c>
      <c r="AE41" t="inlineStr">
        <is>
          <t>Indexed INWO Book / historical cross-check</t>
        </is>
      </c>
      <c r="AF41" t="inlineStr">
        <is>
          <t>EXACT EDGE POSITIONS VERIFIED</t>
        </is>
      </c>
      <c r="AG41" t="inlineStr">
        <is>
          <t>Verified from supplied original-card scan: Groups/INWO - B.A.T.F..png. Triangle orientation establishes IN=BOTTOM, OUT=TOP.</t>
        </is>
      </c>
      <c r="AH41" t="inlineStr">
        <is>
          <t>BOTTOM</t>
        </is>
      </c>
      <c r="AI41" t="inlineStr">
        <is>
          <t>TOP</t>
        </is>
      </c>
      <c r="AJ41" t="inlineStr">
        <is>
          <t>VERIFIED</t>
        </is>
      </c>
      <c r="AK41" t="inlineStr">
        <is>
          <t>Verified from supplied original-card scan: Groups/INWO - B.A.T.F..png. Triangle orientation establishes IN=BOTTOM, OUT=TOP.</t>
        </is>
      </c>
    </row>
    <row r="42" ht="34" customHeight="1" s="16">
      <c r="A42" s="20" t="inlineStr">
        <is>
          <t>Big Media</t>
        </is>
      </c>
      <c r="B42" s="20" t="inlineStr">
        <is>
          <t>Group</t>
        </is>
      </c>
      <c r="C42" s="20" t="inlineStr">
        <is>
          <t>Organization</t>
        </is>
      </c>
      <c r="D42" s="20" t="inlineStr">
        <is>
          <t>Common</t>
        </is>
      </c>
      <c r="E42" s="20" t="inlineStr">
        <is>
          <t>4/4</t>
        </is>
      </c>
      <c r="F42" s="20" t="inlineStr">
        <is>
          <t>6</t>
        </is>
      </c>
      <c r="G42" s="20" t="inlineStr">
        <is>
          <t>Straight, Liberal</t>
        </is>
      </c>
      <c r="H42" s="20" t="inlineStr">
        <is>
          <t>Media</t>
        </is>
      </c>
      <c r="I42" s="20" t="inlineStr">
        <is>
          <t>+4 on any control or destruction attempt against a Media group; may aid or oppose any attack by or against a Media group.</t>
        </is>
      </c>
      <c r="J42" s="20" t="inlineStr">
        <is>
          <t>Needs rules-engine encoding</t>
        </is>
      </c>
      <c r="K42" s="20" t="inlineStr">
        <is>
          <t>High</t>
        </is>
      </c>
      <c r="L42" s="20" t="inlineStr">
        <is>
          <t>Mechanics and outgoing-arrow count checked against the printed card; described in our own words. Exact physical edge placement tracked separately.</t>
        </is>
      </c>
      <c r="M42" s="20" t="inlineStr">
        <is>
          <t>https://www.scribd.com/document/851089808/TheINWOBook</t>
        </is>
      </c>
      <c r="N42" t="inlineStr">
        <is>
          <t>Passive or activated special ability</t>
        </is>
      </c>
      <c r="O42" t="inlineStr">
        <is>
          <t>Per card ability</t>
        </is>
      </c>
      <c r="Q42" t="inlineStr">
        <is>
          <t>While controlled / per effect</t>
        </is>
      </c>
      <c r="R42" t="inlineStr">
        <is>
          <t>+4 on any control or destruction attempt against a Media group; may aid or oppose any attack by or against a Media group.</t>
        </is>
      </c>
      <c r="S42" t="inlineStr">
        <is>
          <t>NO</t>
        </is>
      </c>
      <c r="T42" t="inlineStr">
        <is>
          <t>1 incoming control arrow</t>
        </is>
      </c>
      <c r="U42" t="n">
        <v>3</v>
      </c>
      <c r="V42" t="inlineStr">
        <is>
          <t>N/A — INWO uses Plots instead of group income/money</t>
        </is>
      </c>
      <c r="W42" t="inlineStr">
        <is>
          <t>Standard: 1 action token (Illuminati: 1 Illuminati action); verified mechanics state no override</t>
        </is>
      </c>
      <c r="X42" t="inlineStr">
        <is>
          <t>One copy in play at a time; spare copies act as hidden agents vs. a rival's copy; a destroyed Group cannot be replayed unless a card returns it (base rule)</t>
        </is>
      </c>
      <c r="Y42" t="inlineStr">
        <is>
          <t>None beyond base rules (verified mechanics state no override)</t>
        </is>
      </c>
      <c r="Z42" t="inlineStr">
        <is>
          <t>Standard response window (verified mechanics state no override)</t>
        </is>
      </c>
      <c r="AA42" t="inlineStr">
        <is>
          <t>Specific card overrides general rules</t>
        </is>
      </c>
      <c r="AB42" t="inlineStr">
        <is>
          <t>Indexed INWO Book, Groups section</t>
        </is>
      </c>
      <c r="AC42" t="inlineStr">
        <is>
          <t>FUNCTIONALLY COMPLETE</t>
        </is>
      </c>
      <c r="AE42" t="inlineStr">
        <is>
          <t>Indexed INWO Book / historical cross-check</t>
        </is>
      </c>
      <c r="AF42" t="inlineStr">
        <is>
          <t>EXACT EDGE POSITIONS VERIFIED</t>
        </is>
      </c>
      <c r="AG42" t="inlineStr">
        <is>
          <t>Verified from supplied original-card scan: Groups/INWO - Big Media.png. Triangle orientation establishes IN=TOP, OUT=BOTTOM, LEFT, RIGHT.</t>
        </is>
      </c>
      <c r="AH42" t="inlineStr">
        <is>
          <t>TOP</t>
        </is>
      </c>
      <c r="AI42" t="inlineStr">
        <is>
          <t>BOTTOM, LEFT, RIGHT</t>
        </is>
      </c>
      <c r="AJ42" t="inlineStr">
        <is>
          <t>VERIFIED</t>
        </is>
      </c>
      <c r="AK42" t="inlineStr">
        <is>
          <t>Verified from supplied original-card scan: Groups/INWO - Big Media.png. Triangle orientation establishes IN=TOP, OUT=BOTTOM, LEFT, RIGHT.</t>
        </is>
      </c>
    </row>
    <row r="43" ht="34" customHeight="1" s="16">
      <c r="A43" s="20" t="inlineStr">
        <is>
          <t>Black Activists</t>
        </is>
      </c>
      <c r="B43" s="20" t="inlineStr">
        <is>
          <t>Group</t>
        </is>
      </c>
      <c r="C43" s="20" t="inlineStr">
        <is>
          <t>Organization</t>
        </is>
      </c>
      <c r="D43" s="20" t="inlineStr">
        <is>
          <t>Common</t>
        </is>
      </c>
      <c r="E43" s="20" t="inlineStr">
        <is>
          <t>3</t>
        </is>
      </c>
      <c r="F43" s="20" t="inlineStr">
        <is>
          <t>4</t>
        </is>
      </c>
      <c r="G43" s="20" t="inlineStr">
        <is>
          <t>Liberal</t>
        </is>
      </c>
      <c r="H43" s="20" t="str"/>
      <c r="I43" s="20" t="inlineStr">
        <is>
          <t>+2 on any control attempt against a Liberal group; +4 defense against attacks made or aided by Liberal groups.</t>
        </is>
      </c>
      <c r="J43" s="20" t="inlineStr">
        <is>
          <t>Needs rules-engine encoding</t>
        </is>
      </c>
      <c r="K43" s="20" t="inlineStr">
        <is>
          <t>High</t>
        </is>
      </c>
      <c r="L43" s="20" t="inlineStr">
        <is>
          <t>Mechanics and outgoing-arrow count checked against the printed card; described in our own words. Exact physical edge placement tracked separately.</t>
        </is>
      </c>
      <c r="M43" s="20" t="inlineStr">
        <is>
          <t>https://www.scribd.com/document/851089808/TheINWOBook</t>
        </is>
      </c>
      <c r="N43" t="inlineStr">
        <is>
          <t>Passive or activated special ability</t>
        </is>
      </c>
      <c r="O43" t="inlineStr">
        <is>
          <t>Per card ability</t>
        </is>
      </c>
      <c r="Q43" t="inlineStr">
        <is>
          <t>While controlled / per effect</t>
        </is>
      </c>
      <c r="R43" t="inlineStr">
        <is>
          <t>+2 on any control attempt against a Liberal group; +4 defense against attacks made or aided by Liberal groups.</t>
        </is>
      </c>
      <c r="S43" t="inlineStr">
        <is>
          <t>NO</t>
        </is>
      </c>
      <c r="T43" t="inlineStr">
        <is>
          <t>1 incoming control arrow</t>
        </is>
      </c>
      <c r="U43" t="n">
        <v>1</v>
      </c>
      <c r="V43" t="inlineStr">
        <is>
          <t>N/A — INWO uses Plots instead of group income/money</t>
        </is>
      </c>
      <c r="W43" t="inlineStr">
        <is>
          <t>Standard: 1 action token (Illuminati: 1 Illuminati action); verified mechanics state no override</t>
        </is>
      </c>
      <c r="X43" t="inlineStr">
        <is>
          <t>One copy in play at a time; spare copies act as hidden agents vs. a rival's copy; a destroyed Group cannot be replayed unless a card returns it (base rule)</t>
        </is>
      </c>
      <c r="Y43" t="inlineStr">
        <is>
          <t>None beyond base rules (verified mechanics state no override)</t>
        </is>
      </c>
      <c r="Z43" t="inlineStr">
        <is>
          <t>Standard response window (verified mechanics state no override)</t>
        </is>
      </c>
      <c r="AA43" t="inlineStr">
        <is>
          <t>Specific card overrides general rules</t>
        </is>
      </c>
      <c r="AB43" t="inlineStr">
        <is>
          <t>Indexed INWO Book, Groups section</t>
        </is>
      </c>
      <c r="AC43" t="inlineStr">
        <is>
          <t>FUNCTIONALLY COMPLETE</t>
        </is>
      </c>
      <c r="AE43" t="inlineStr">
        <is>
          <t>Indexed INWO Book / historical cross-check</t>
        </is>
      </c>
      <c r="AF43" t="inlineStr">
        <is>
          <t>EXACT EDGE POSITIONS VERIFIED</t>
        </is>
      </c>
      <c r="AG43" t="inlineStr">
        <is>
          <t>Verified from supplied original-card scan: Groups/INWO - Black Activists.png. Triangle orientation establishes IN=TOP, OUT=LEFT.</t>
        </is>
      </c>
      <c r="AH43" t="inlineStr">
        <is>
          <t>TOP</t>
        </is>
      </c>
      <c r="AI43" t="inlineStr">
        <is>
          <t>LEFT</t>
        </is>
      </c>
      <c r="AJ43" t="inlineStr">
        <is>
          <t>VERIFIED</t>
        </is>
      </c>
      <c r="AK43" t="inlineStr">
        <is>
          <t>Verified from supplied original-card scan: Groups/INWO - Black Activists.png. Triangle orientation establishes IN=TOP, OUT=LEFT.</t>
        </is>
      </c>
    </row>
    <row r="44" ht="34" customHeight="1" s="16">
      <c r="A44" s="20" t="inlineStr">
        <is>
          <t>Boy Sprouts</t>
        </is>
      </c>
      <c r="B44" s="20" t="inlineStr">
        <is>
          <t>Group</t>
        </is>
      </c>
      <c r="C44" s="20" t="inlineStr">
        <is>
          <t>Organization</t>
        </is>
      </c>
      <c r="D44" s="20" t="inlineStr">
        <is>
          <t>Common</t>
        </is>
      </c>
      <c r="E44" s="20" t="inlineStr">
        <is>
          <t>1*</t>
        </is>
      </c>
      <c r="F44" s="20" t="inlineStr">
        <is>
          <t>3</t>
        </is>
      </c>
      <c r="G44" s="20" t="inlineStr">
        <is>
          <t>Straight, Peaceful</t>
        </is>
      </c>
      <c r="H44" s="20" t="str"/>
      <c r="I44" s="20" t="inlineStr">
        <is>
          <t>Power counts as 12 for Relief; whenever they help with Relief, draw a Plot card.</t>
        </is>
      </c>
      <c r="J44" s="20" t="inlineStr">
        <is>
          <t>Needs rules-engine encoding</t>
        </is>
      </c>
      <c r="K44" s="20" t="inlineStr">
        <is>
          <t>High</t>
        </is>
      </c>
      <c r="L44" s="20" t="inlineStr">
        <is>
          <t>Mechanics and outgoing-arrow count checked against the printed card; described in our own words. Exact physical edge placement tracked separately.</t>
        </is>
      </c>
      <c r="M44" s="20" t="inlineStr">
        <is>
          <t>https://www.scribd.com/document/851089808/TheINWOBook</t>
        </is>
      </c>
      <c r="N44" t="inlineStr">
        <is>
          <t>Passive or activated special ability</t>
        </is>
      </c>
      <c r="O44" t="inlineStr">
        <is>
          <t>Per card ability</t>
        </is>
      </c>
      <c r="Q44" t="inlineStr">
        <is>
          <t>While controlled / per effect</t>
        </is>
      </c>
      <c r="R44" t="inlineStr">
        <is>
          <t>Power counts as 12 for Relief; whenever they help with Relief, draw a Plot card.</t>
        </is>
      </c>
      <c r="S44" t="inlineStr">
        <is>
          <t>NO</t>
        </is>
      </c>
      <c r="T44" t="inlineStr">
        <is>
          <t>1 incoming control arrow</t>
        </is>
      </c>
      <c r="U44" t="n">
        <v>0</v>
      </c>
      <c r="V44" t="inlineStr">
        <is>
          <t>N/A — INWO uses Plots instead of group income/money</t>
        </is>
      </c>
      <c r="W44" t="inlineStr">
        <is>
          <t>Standard: 1 action token (Illuminati: 1 Illuminati action); verified mechanics state no override</t>
        </is>
      </c>
      <c r="X44" t="inlineStr">
        <is>
          <t>One copy in play at a time; spare copies act as hidden agents vs. a rival's copy; a destroyed Group cannot be replayed unless a card returns it (base rule)</t>
        </is>
      </c>
      <c r="Y44" t="inlineStr">
        <is>
          <t>None beyond base rules (verified mechanics state no override)</t>
        </is>
      </c>
      <c r="Z44" t="inlineStr">
        <is>
          <t>Standard response window (verified mechanics state no override)</t>
        </is>
      </c>
      <c r="AA44" t="inlineStr">
        <is>
          <t>Specific card overrides general rules</t>
        </is>
      </c>
      <c r="AB44" t="inlineStr">
        <is>
          <t>Indexed INWO Book, Groups section</t>
        </is>
      </c>
      <c r="AC44" t="inlineStr">
        <is>
          <t>FUNCTIONALLY COMPLETE</t>
        </is>
      </c>
      <c r="AE44" t="inlineStr">
        <is>
          <t>Indexed INWO Book / historical cross-check</t>
        </is>
      </c>
      <c r="AF44" t="inlineStr">
        <is>
          <t>EXACT EDGE POSITIONS VERIFIED</t>
        </is>
      </c>
      <c r="AG44" t="inlineStr">
        <is>
          <t>Verified from supplied original-card scan: Groups/INWO - Boy Sprouts.png. Triangle orientation establishes IN=TOP, OUT=NONE.</t>
        </is>
      </c>
      <c r="AH44" t="inlineStr">
        <is>
          <t>TOP</t>
        </is>
      </c>
      <c r="AI44" t="inlineStr">
        <is>
          <t>NONE</t>
        </is>
      </c>
      <c r="AJ44" t="inlineStr">
        <is>
          <t>VERIFIED</t>
        </is>
      </c>
      <c r="AK44" t="inlineStr">
        <is>
          <t>Verified from supplied original-card scan: Groups/INWO - Boy Sprouts.png. Triangle orientation establishes IN=TOP, OUT=NONE.</t>
        </is>
      </c>
    </row>
    <row r="45" ht="34" customHeight="1" s="16">
      <c r="A45" s="20" t="inlineStr">
        <is>
          <t>Cable TV</t>
        </is>
      </c>
      <c r="B45" s="20" t="inlineStr">
        <is>
          <t>Group</t>
        </is>
      </c>
      <c r="C45" s="20" t="inlineStr">
        <is>
          <t>Organization</t>
        </is>
      </c>
      <c r="D45" s="20" t="inlineStr">
        <is>
          <t>Common</t>
        </is>
      </c>
      <c r="E45" s="20" t="inlineStr">
        <is>
          <t>3/2</t>
        </is>
      </c>
      <c r="F45" s="20" t="inlineStr">
        <is>
          <t>2</t>
        </is>
      </c>
      <c r="G45" s="20" t="inlineStr">
        <is>
          <t>Corporate</t>
        </is>
      </c>
      <c r="H45" s="20" t="inlineStr">
        <is>
          <t>Media</t>
        </is>
      </c>
      <c r="I45" s="20" t="inlineStr">
        <is>
          <t>Adds 1 to both its Power and its Global Power for every Personality in your Power Structure.</t>
        </is>
      </c>
      <c r="J45" s="20" t="inlineStr">
        <is>
          <t>Needs rules-engine encoding</t>
        </is>
      </c>
      <c r="K45" s="20" t="inlineStr">
        <is>
          <t>High</t>
        </is>
      </c>
      <c r="L45" s="20" t="inlineStr">
        <is>
          <t>Mechanics and outgoing-arrow count checked against the printed card; described in our own words. Exact physical edge placement tracked separately.</t>
        </is>
      </c>
      <c r="M45" s="20" t="inlineStr">
        <is>
          <t>https://www.scribd.com/document/851089808/TheINWOBook</t>
        </is>
      </c>
      <c r="N45" t="inlineStr">
        <is>
          <t>Passive or activated special ability</t>
        </is>
      </c>
      <c r="O45" t="inlineStr">
        <is>
          <t>Per card ability</t>
        </is>
      </c>
      <c r="Q45" t="inlineStr">
        <is>
          <t>While controlled / per effect</t>
        </is>
      </c>
      <c r="R45" t="inlineStr">
        <is>
          <t>Adds 1 to both its Power and its Global Power for every Personality in your Power Structure.</t>
        </is>
      </c>
      <c r="S45" t="inlineStr">
        <is>
          <t>NO</t>
        </is>
      </c>
      <c r="T45" t="inlineStr">
        <is>
          <t>1 incoming control arrow</t>
        </is>
      </c>
      <c r="U45" t="n">
        <v>2</v>
      </c>
      <c r="V45" t="inlineStr">
        <is>
          <t>N/A — INWO uses Plots instead of group income/money</t>
        </is>
      </c>
      <c r="W45" t="inlineStr">
        <is>
          <t>Standard: 1 action token (Illuminati: 1 Illuminati action); verified mechanics state no override</t>
        </is>
      </c>
      <c r="X45" t="inlineStr">
        <is>
          <t>One copy in play at a time; spare copies act as hidden agents vs. a rival's copy; a destroyed Group cannot be replayed unless a card returns it (base rule)</t>
        </is>
      </c>
      <c r="Y45" t="inlineStr">
        <is>
          <t>None beyond base rules (verified mechanics state no override)</t>
        </is>
      </c>
      <c r="Z45" t="inlineStr">
        <is>
          <t>Standard response window (verified mechanics state no override)</t>
        </is>
      </c>
      <c r="AA45" t="inlineStr">
        <is>
          <t>Specific card overrides general rules</t>
        </is>
      </c>
      <c r="AB45" t="inlineStr">
        <is>
          <t>Indexed INWO Book, Groups section</t>
        </is>
      </c>
      <c r="AC45" t="inlineStr">
        <is>
          <t>FUNCTIONALLY COMPLETE</t>
        </is>
      </c>
      <c r="AE45" t="inlineStr">
        <is>
          <t>Indexed INWO Book / historical cross-check</t>
        </is>
      </c>
      <c r="AF45" t="inlineStr">
        <is>
          <t>EXACT EDGE POSITIONS VERIFIED</t>
        </is>
      </c>
      <c r="AG45" t="inlineStr">
        <is>
          <t>Verified from supplied original-card scan: Groups/INWO - Cable TV.png. Triangle orientation establishes IN=TOP, OUT=BOTTOM, RIGHT.</t>
        </is>
      </c>
      <c r="AH45" t="inlineStr">
        <is>
          <t>TOP</t>
        </is>
      </c>
      <c r="AI45" t="inlineStr">
        <is>
          <t>BOTTOM, RIGHT</t>
        </is>
      </c>
      <c r="AJ45" t="inlineStr">
        <is>
          <t>VERIFIED</t>
        </is>
      </c>
      <c r="AK45" t="inlineStr">
        <is>
          <t>Verified from supplied original-card scan: Groups/INWO - Cable TV.png. Triangle orientation establishes IN=TOP, OUT=BOTTOM, RIGHT.</t>
        </is>
      </c>
    </row>
    <row r="46" ht="34" customHeight="1" s="16">
      <c r="A46" s="20" t="inlineStr">
        <is>
          <t>Cattle Mutilators</t>
        </is>
      </c>
      <c r="B46" s="20" t="inlineStr">
        <is>
          <t>Group</t>
        </is>
      </c>
      <c r="C46" s="20" t="inlineStr">
        <is>
          <t>Organization</t>
        </is>
      </c>
      <c r="D46" s="20" t="inlineStr">
        <is>
          <t>Rare</t>
        </is>
      </c>
      <c r="E46" s="20" t="inlineStr">
        <is>
          <t>2</t>
        </is>
      </c>
      <c r="F46" s="20" t="inlineStr">
        <is>
          <t>6</t>
        </is>
      </c>
      <c r="G46" s="20" t="inlineStr">
        <is>
          <t>Criminal, Weird</t>
        </is>
      </c>
      <c r="H46" s="20" t="inlineStr">
        <is>
          <t>Magic, Secret</t>
        </is>
      </c>
      <c r="I46" s="20" t="inlineStr">
        <is>
          <t>As an action, expose all hidden Plots of one rival.</t>
        </is>
      </c>
      <c r="J46" s="20" t="inlineStr">
        <is>
          <t>Needs rules-engine encoding</t>
        </is>
      </c>
      <c r="K46" s="20" t="inlineStr">
        <is>
          <t>High</t>
        </is>
      </c>
      <c r="L46" s="20" t="inlineStr">
        <is>
          <t>Mechanics and outgoing-arrow count checked against the printed card; described in our own words. Exact physical edge placement tracked separately.</t>
        </is>
      </c>
      <c r="M46" s="20" t="inlineStr">
        <is>
          <t>https://www.scribd.com/document/851089808/TheINWOBook</t>
        </is>
      </c>
      <c r="N46" t="inlineStr">
        <is>
          <t>Passive or activated special ability</t>
        </is>
      </c>
      <c r="O46" t="inlineStr">
        <is>
          <t>Per card ability</t>
        </is>
      </c>
      <c r="Q46" t="inlineStr">
        <is>
          <t>While controlled / per effect</t>
        </is>
      </c>
      <c r="R46" t="inlineStr">
        <is>
          <t>As an action, expose all hidden Plots of one rival.</t>
        </is>
      </c>
      <c r="S46" t="inlineStr">
        <is>
          <t>NO</t>
        </is>
      </c>
      <c r="T46" t="inlineStr">
        <is>
          <t>1 incoming control arrow</t>
        </is>
      </c>
      <c r="U46" t="n">
        <v>1</v>
      </c>
      <c r="V46" t="inlineStr">
        <is>
          <t>N/A — INWO uses Plots instead of group income/money</t>
        </is>
      </c>
      <c r="W46" t="inlineStr">
        <is>
          <t>Standard: 1 action token (Illuminati: 1 Illuminati action); verified mechanics state no override</t>
        </is>
      </c>
      <c r="X46" t="inlineStr">
        <is>
          <t>One copy in play at a time; spare copies act as hidden agents vs. a rival's copy; a destroyed Group cannot be replayed unless a card returns it (base rule)</t>
        </is>
      </c>
      <c r="Y46" t="inlineStr">
        <is>
          <t>None beyond base rules (verified mechanics state no override)</t>
        </is>
      </c>
      <c r="Z46" t="inlineStr">
        <is>
          <t>Standard response window (verified mechanics state no override)</t>
        </is>
      </c>
      <c r="AA46" t="inlineStr">
        <is>
          <t>Specific card overrides general rules</t>
        </is>
      </c>
      <c r="AB46" t="inlineStr">
        <is>
          <t>Indexed INWO Book, Groups section</t>
        </is>
      </c>
      <c r="AC46" t="inlineStr">
        <is>
          <t>FUNCTIONALLY COMPLETE</t>
        </is>
      </c>
      <c r="AE46" t="inlineStr">
        <is>
          <t>Indexed INWO Book / historical cross-check</t>
        </is>
      </c>
      <c r="AF46" t="inlineStr">
        <is>
          <t>EXACT EDGE POSITIONS VERIFIED</t>
        </is>
      </c>
      <c r="AG46" t="inlineStr">
        <is>
          <t>Verified from supplied original-card scan: Groups/INWO - Cattle Mutilators.png. Triangle orientation establishes IN=TOP, OUT=RIGHT.</t>
        </is>
      </c>
      <c r="AH46" t="inlineStr">
        <is>
          <t>TOP</t>
        </is>
      </c>
      <c r="AI46" t="inlineStr">
        <is>
          <t>RIGHT</t>
        </is>
      </c>
      <c r="AJ46" t="inlineStr">
        <is>
          <t>VERIFIED</t>
        </is>
      </c>
      <c r="AK46" t="inlineStr">
        <is>
          <t>Verified from supplied original-card scan: Groups/INWO - Cattle Mutilators.png. Triangle orientation establishes IN=TOP, OUT=RIGHT.</t>
        </is>
      </c>
    </row>
    <row r="47" ht="34" customHeight="1" s="16">
      <c r="A47" s="20" t="inlineStr">
        <is>
          <t>CFL-AIO</t>
        </is>
      </c>
      <c r="B47" s="20" t="inlineStr">
        <is>
          <t>Group</t>
        </is>
      </c>
      <c r="C47" s="20" t="inlineStr">
        <is>
          <t>Organization</t>
        </is>
      </c>
      <c r="D47" s="20" t="inlineStr">
        <is>
          <t>Rare</t>
        </is>
      </c>
      <c r="E47" s="20" t="inlineStr">
        <is>
          <t>6</t>
        </is>
      </c>
      <c r="F47" s="20" t="inlineStr">
        <is>
          <t>5</t>
        </is>
      </c>
      <c r="G47" s="20" t="inlineStr">
        <is>
          <t>Liberal, Corporate</t>
        </is>
      </c>
      <c r="H47" s="20" t="str"/>
      <c r="I47" s="20" t="inlineStr">
        <is>
          <t>+10 on direct destruction of Corporate groups instead of the normal same-alignment penalty; +4 on any destruction attempt against Corporate.</t>
        </is>
      </c>
      <c r="J47" s="20" t="inlineStr">
        <is>
          <t>Needs rules-engine encoding</t>
        </is>
      </c>
      <c r="K47" s="20" t="inlineStr">
        <is>
          <t>High</t>
        </is>
      </c>
      <c r="L47" s="20" t="inlineStr">
        <is>
          <t>Mechanics and outgoing-arrow count checked against the printed card; described in our own words. Exact physical edge placement tracked separately.</t>
        </is>
      </c>
      <c r="M47" s="20" t="inlineStr">
        <is>
          <t>https://www.scribd.com/document/851089808/TheINWOBook</t>
        </is>
      </c>
      <c r="N47" t="inlineStr">
        <is>
          <t>Passive or activated special ability</t>
        </is>
      </c>
      <c r="O47" t="inlineStr">
        <is>
          <t>Per card ability</t>
        </is>
      </c>
      <c r="Q47" t="inlineStr">
        <is>
          <t>While controlled / per effect</t>
        </is>
      </c>
      <c r="R47" t="inlineStr">
        <is>
          <t>+10 on direct destruction of Corporate groups instead of the normal same-alignment penalty; +4 on any destruction attempt against Corporate.</t>
        </is>
      </c>
      <c r="S47" t="inlineStr">
        <is>
          <t>NO</t>
        </is>
      </c>
      <c r="T47" t="inlineStr">
        <is>
          <t>1 incoming control arrow</t>
        </is>
      </c>
      <c r="U47" t="n">
        <v>3</v>
      </c>
      <c r="V47" t="inlineStr">
        <is>
          <t>N/A — INWO uses Plots instead of group income/money</t>
        </is>
      </c>
      <c r="W47" t="inlineStr">
        <is>
          <t>Standard: 1 action token (Illuminati: 1 Illuminati action); verified mechanics state no override</t>
        </is>
      </c>
      <c r="X47" t="inlineStr">
        <is>
          <t>One copy in play at a time; spare copies act as hidden agents vs. a rival's copy; a destroyed Group cannot be replayed unless a card returns it (base rule)</t>
        </is>
      </c>
      <c r="Y47" t="inlineStr">
        <is>
          <t>None beyond base rules (verified mechanics state no override)</t>
        </is>
      </c>
      <c r="Z47" t="inlineStr">
        <is>
          <t>Standard response window (verified mechanics state no override)</t>
        </is>
      </c>
      <c r="AA47" t="inlineStr">
        <is>
          <t>Specific card overrides general rules</t>
        </is>
      </c>
      <c r="AB47" t="inlineStr">
        <is>
          <t>Indexed INWO Book, Groups section</t>
        </is>
      </c>
      <c r="AC47" t="inlineStr">
        <is>
          <t>FUNCTIONALLY COMPLETE</t>
        </is>
      </c>
      <c r="AE47" t="inlineStr">
        <is>
          <t>Indexed INWO Book / historical cross-check</t>
        </is>
      </c>
      <c r="AF47" t="inlineStr">
        <is>
          <t>EXACT EDGE POSITIONS VERIFIED</t>
        </is>
      </c>
      <c r="AG47" t="inlineStr">
        <is>
          <t>Verified from supplied original-card scan: Groups/INWO - CFL-AIO.png. Triangle orientation establishes IN=BOTTOM, OUT=TOP, LEFT, RIGHT.</t>
        </is>
      </c>
      <c r="AH47" t="inlineStr">
        <is>
          <t>BOTTOM</t>
        </is>
      </c>
      <c r="AI47" t="inlineStr">
        <is>
          <t>TOP, LEFT, RIGHT</t>
        </is>
      </c>
      <c r="AJ47" t="inlineStr">
        <is>
          <t>VERIFIED</t>
        </is>
      </c>
      <c r="AK47" t="inlineStr">
        <is>
          <t>Verified from supplied original-card scan: Groups/INWO - CFL-AIO.png. Triangle orientation establishes IN=BOTTOM, OUT=TOP, LEFT, RIGHT.</t>
        </is>
      </c>
    </row>
    <row r="48" ht="34" customHeight="1" s="16">
      <c r="A48" s="20" t="inlineStr">
        <is>
          <t>Church of Elvis</t>
        </is>
      </c>
      <c r="B48" s="20" t="inlineStr">
        <is>
          <t>Group</t>
        </is>
      </c>
      <c r="C48" s="20" t="inlineStr">
        <is>
          <t>Organization</t>
        </is>
      </c>
      <c r="D48" s="20" t="inlineStr">
        <is>
          <t>Uncommon</t>
        </is>
      </c>
      <c r="E48" s="20" t="inlineStr">
        <is>
          <t>1*</t>
        </is>
      </c>
      <c r="F48" s="20" t="inlineStr">
        <is>
          <t>3</t>
        </is>
      </c>
      <c r="G48" s="20" t="inlineStr">
        <is>
          <t>Peaceful, Weird</t>
        </is>
      </c>
      <c r="H48" s="20" t="inlineStr">
        <is>
          <t>Church</t>
        </is>
      </c>
      <c r="I48" s="20" t="inlineStr">
        <is>
          <t>Power becomes 4 while Elvis is in play, or 8 while you control Elvis.</t>
        </is>
      </c>
      <c r="J48" s="20" t="inlineStr">
        <is>
          <t>Needs rules-engine encoding</t>
        </is>
      </c>
      <c r="K48" s="20" t="inlineStr">
        <is>
          <t>High</t>
        </is>
      </c>
      <c r="L48" s="20" t="inlineStr">
        <is>
          <t>Mechanics and outgoing-arrow count checked against the printed card; described in our own words. Exact physical edge placement tracked separately.</t>
        </is>
      </c>
      <c r="M48" s="20" t="inlineStr">
        <is>
          <t>https://www.scribd.com/document/851089808/TheINWOBook</t>
        </is>
      </c>
      <c r="N48" t="inlineStr">
        <is>
          <t>Passive or activated special ability</t>
        </is>
      </c>
      <c r="O48" t="inlineStr">
        <is>
          <t>Per card ability</t>
        </is>
      </c>
      <c r="Q48" t="inlineStr">
        <is>
          <t>While controlled / per effect</t>
        </is>
      </c>
      <c r="R48" t="inlineStr">
        <is>
          <t>Power becomes 4 while Elvis is in play, or 8 while you control Elvis.</t>
        </is>
      </c>
      <c r="S48" t="inlineStr">
        <is>
          <t>NO</t>
        </is>
      </c>
      <c r="T48" t="inlineStr">
        <is>
          <t>1 incoming control arrow</t>
        </is>
      </c>
      <c r="U48" t="n">
        <v>0</v>
      </c>
      <c r="V48" t="inlineStr">
        <is>
          <t>N/A — INWO uses Plots instead of group income/money</t>
        </is>
      </c>
      <c r="W48" t="inlineStr">
        <is>
          <t>Standard: 1 action token (Illuminati: 1 Illuminati action); verified mechanics state no override</t>
        </is>
      </c>
      <c r="X48" t="inlineStr">
        <is>
          <t>One copy in play at a time; spare copies act as hidden agents vs. a rival's copy; a destroyed Group cannot be replayed unless a card returns it (base rule)</t>
        </is>
      </c>
      <c r="Y48" t="inlineStr">
        <is>
          <t>None beyond base rules (verified mechanics state no override)</t>
        </is>
      </c>
      <c r="Z48" t="inlineStr">
        <is>
          <t>Standard response window (verified mechanics state no override)</t>
        </is>
      </c>
      <c r="AA48" t="inlineStr">
        <is>
          <t>Specific card overrides general rules</t>
        </is>
      </c>
      <c r="AB48" t="inlineStr">
        <is>
          <t>Indexed INWO Book, Groups section</t>
        </is>
      </c>
      <c r="AC48" t="inlineStr">
        <is>
          <t>FUNCTIONALLY COMPLETE</t>
        </is>
      </c>
      <c r="AE48" t="inlineStr">
        <is>
          <t>Indexed INWO Book / historical cross-check</t>
        </is>
      </c>
      <c r="AF48" t="inlineStr">
        <is>
          <t>EXACT EDGE POSITIONS VERIFIED</t>
        </is>
      </c>
      <c r="AG48" t="inlineStr">
        <is>
          <t>Verified from supplied original-card scan: Groups/INWO - Church of Elvis.png. Triangle orientation establishes IN=TOP, OUT=NONE.</t>
        </is>
      </c>
      <c r="AH48" t="inlineStr">
        <is>
          <t>TOP</t>
        </is>
      </c>
      <c r="AI48" t="inlineStr">
        <is>
          <t>NONE</t>
        </is>
      </c>
      <c r="AJ48" t="inlineStr">
        <is>
          <t>VERIFIED</t>
        </is>
      </c>
      <c r="AK48" t="inlineStr">
        <is>
          <t>Verified from supplied original-card scan: Groups/INWO - Church of Elvis.png. Triangle orientation establishes IN=TOP, OUT=NONE.</t>
        </is>
      </c>
    </row>
    <row r="49" ht="34" customHeight="1" s="16">
      <c r="A49" s="20" t="inlineStr">
        <is>
          <t>C.I.A.</t>
        </is>
      </c>
      <c r="B49" s="20" t="inlineStr">
        <is>
          <t>Group</t>
        </is>
      </c>
      <c r="C49" s="20" t="inlineStr">
        <is>
          <t>Organization</t>
        </is>
      </c>
      <c r="D49" s="20" t="inlineStr">
        <is>
          <t>Rare</t>
        </is>
      </c>
      <c r="E49" s="20" t="inlineStr">
        <is>
          <t>6/4</t>
        </is>
      </c>
      <c r="F49" s="20" t="inlineStr">
        <is>
          <t>5</t>
        </is>
      </c>
      <c r="G49" s="20" t="inlineStr">
        <is>
          <t>Violent, Government</t>
        </is>
      </c>
      <c r="H49" s="20" t="str"/>
      <c r="I49" s="20" t="inlineStr">
        <is>
          <t>+4 instead of the normal penalty on direct destruction of other Government groups; may turn a Personality destruction attempt into an Assassination/Instant attack.</t>
        </is>
      </c>
      <c r="J49" s="20" t="inlineStr">
        <is>
          <t>Needs rules-engine encoding</t>
        </is>
      </c>
      <c r="K49" s="20" t="inlineStr">
        <is>
          <t>High</t>
        </is>
      </c>
      <c r="L49" s="20" t="inlineStr">
        <is>
          <t>Mechanics and outgoing-arrow count checked against the printed card; described in our own words. Exact physical edge placement tracked separately.</t>
        </is>
      </c>
      <c r="M49" s="20" t="inlineStr">
        <is>
          <t>https://www.scribd.com/document/851089808/TheINWOBook</t>
        </is>
      </c>
      <c r="N49" t="inlineStr">
        <is>
          <t>Passive or activated special ability</t>
        </is>
      </c>
      <c r="O49" t="inlineStr">
        <is>
          <t>Per card ability</t>
        </is>
      </c>
      <c r="Q49" t="inlineStr">
        <is>
          <t>While controlled / per effect</t>
        </is>
      </c>
      <c r="R49" t="inlineStr">
        <is>
          <t>+4 instead of the normal penalty on direct destruction of other Government groups; may turn a Personality destruction attempt into an Assassination/Instant attack.</t>
        </is>
      </c>
      <c r="S49" t="inlineStr">
        <is>
          <t>NO</t>
        </is>
      </c>
      <c r="T49" t="inlineStr">
        <is>
          <t>1 incoming control arrow</t>
        </is>
      </c>
      <c r="U49" t="n">
        <v>3</v>
      </c>
      <c r="V49" t="inlineStr">
        <is>
          <t>N/A — INWO uses Plots instead of group income/money</t>
        </is>
      </c>
      <c r="W49" t="inlineStr">
        <is>
          <t>Standard: 1 action token (Illuminati: 1 Illuminati action); verified mechanics state no override</t>
        </is>
      </c>
      <c r="X49" t="inlineStr">
        <is>
          <t>One copy in play at a time; spare copies act as hidden agents vs. a rival's copy; a destroyed Group cannot be replayed unless a card returns it (base rule)</t>
        </is>
      </c>
      <c r="Y49" t="inlineStr">
        <is>
          <t>None beyond base rules (verified mechanics state no override)</t>
        </is>
      </c>
      <c r="Z49" t="inlineStr">
        <is>
          <t>Standard response window (verified mechanics state no override)</t>
        </is>
      </c>
      <c r="AA49" t="inlineStr">
        <is>
          <t>Specific card overrides general rules</t>
        </is>
      </c>
      <c r="AB49" t="inlineStr">
        <is>
          <t>Indexed INWO Book, Groups section</t>
        </is>
      </c>
      <c r="AC49" t="inlineStr">
        <is>
          <t>FUNCTIONALLY COMPLETE</t>
        </is>
      </c>
      <c r="AE49" t="inlineStr">
        <is>
          <t>Indexed INWO Book / historical cross-check</t>
        </is>
      </c>
      <c r="AF49" t="inlineStr">
        <is>
          <t>EXACT EDGE POSITIONS VERIFIED</t>
        </is>
      </c>
      <c r="AG49" t="inlineStr">
        <is>
          <t>Verified from supplied original-card scan: Groups/INWO - C.I.A..png. Triangle orientation establishes IN=TOP, OUT=BOTTOM, LEFT, RIGHT.</t>
        </is>
      </c>
      <c r="AH49" t="inlineStr">
        <is>
          <t>TOP</t>
        </is>
      </c>
      <c r="AI49" t="inlineStr">
        <is>
          <t>BOTTOM, LEFT, RIGHT</t>
        </is>
      </c>
      <c r="AJ49" t="inlineStr">
        <is>
          <t>VERIFIED</t>
        </is>
      </c>
      <c r="AK49" t="inlineStr">
        <is>
          <t>Verified from supplied original-card scan: Groups/INWO - C.I.A..png. Triangle orientation establishes IN=TOP, OUT=BOTTOM, LEFT, RIGHT.</t>
        </is>
      </c>
    </row>
    <row r="50" ht="34" customHeight="1" s="16">
      <c r="A50" s="20" t="inlineStr">
        <is>
          <t>Clone Arrangers</t>
        </is>
      </c>
      <c r="B50" s="20" t="inlineStr">
        <is>
          <t>Group</t>
        </is>
      </c>
      <c r="C50" s="20" t="inlineStr">
        <is>
          <t>Organization</t>
        </is>
      </c>
      <c r="D50" s="20" t="inlineStr">
        <is>
          <t>Common</t>
        </is>
      </c>
      <c r="E50" s="20" t="inlineStr">
        <is>
          <t>6/2</t>
        </is>
      </c>
      <c r="F50" s="20" t="inlineStr">
        <is>
          <t>6</t>
        </is>
      </c>
      <c r="G50" s="20" t="inlineStr">
        <is>
          <t>Violent, Criminal</t>
        </is>
      </c>
      <c r="H50" s="20" t="inlineStr">
        <is>
          <t>Communist, Science, Secret</t>
        </is>
      </c>
      <c r="I50" s="20" t="inlineStr">
        <is>
          <t>+4 on any control attempt against a Personality. As an action, immediately restore a just-killed Personality to an open control arrow; that Personality no longer counts as destroyed.</t>
        </is>
      </c>
      <c r="J50" s="20" t="inlineStr">
        <is>
          <t>Needs rules-engine encoding</t>
        </is>
      </c>
      <c r="K50" s="20" t="inlineStr">
        <is>
          <t>High</t>
        </is>
      </c>
      <c r="L50" s="20" t="inlineStr">
        <is>
          <t>Mechanics and outgoing-arrow count checked against the printed card; described in our own words. Exact physical edge placement tracked separately.</t>
        </is>
      </c>
      <c r="M50" s="20" t="inlineStr">
        <is>
          <t>https://www.scribd.com/document/851089808/TheINWOBook</t>
        </is>
      </c>
      <c r="N50" t="inlineStr">
        <is>
          <t>Passive or activated special ability</t>
        </is>
      </c>
      <c r="O50" t="inlineStr">
        <is>
          <t>Per card ability</t>
        </is>
      </c>
      <c r="Q50" t="inlineStr">
        <is>
          <t>While controlled / per effect</t>
        </is>
      </c>
      <c r="R50" t="inlineStr">
        <is>
          <t>+4 on any control attempt against a Personality. As an action, immediately restore a just-killed Personality to an open control arrow; that Personality no longer counts as destroyed.</t>
        </is>
      </c>
      <c r="S50" t="inlineStr">
        <is>
          <t>NO</t>
        </is>
      </c>
      <c r="T50" t="inlineStr">
        <is>
          <t>1 incoming control arrow</t>
        </is>
      </c>
      <c r="U50" t="n">
        <v>2</v>
      </c>
      <c r="V50" t="inlineStr">
        <is>
          <t>N/A — INWO uses Plots instead of group income/money</t>
        </is>
      </c>
      <c r="W50" t="inlineStr">
        <is>
          <t>Standard: 1 action token (Illuminati: 1 Illuminati action); verified mechanics state no override</t>
        </is>
      </c>
      <c r="X50" t="inlineStr">
        <is>
          <t>One copy in play at a time; spare copies act as hidden agents vs. a rival's copy; a destroyed Group cannot be replayed unless a card returns it (base rule)</t>
        </is>
      </c>
      <c r="Y50" t="inlineStr">
        <is>
          <t>None beyond base rules (verified mechanics state no override)</t>
        </is>
      </c>
      <c r="Z50" t="inlineStr">
        <is>
          <t>Standard response window (verified mechanics state no override)</t>
        </is>
      </c>
      <c r="AA50" t="inlineStr">
        <is>
          <t>Specific card overrides general rules</t>
        </is>
      </c>
      <c r="AB50" t="inlineStr">
        <is>
          <t>Indexed INWO Book, Groups section</t>
        </is>
      </c>
      <c r="AC50" t="inlineStr">
        <is>
          <t>FUNCTIONALLY COMPLETE</t>
        </is>
      </c>
      <c r="AE50" t="inlineStr">
        <is>
          <t>Indexed INWO Book / historical cross-check</t>
        </is>
      </c>
      <c r="AF50" t="inlineStr">
        <is>
          <t>EXACT EDGE POSITIONS VERIFIED</t>
        </is>
      </c>
      <c r="AG50" t="inlineStr">
        <is>
          <t>Verified from supplied original-card scan: Groups/INWO - Clone Arrangers.png. Triangle orientation establishes IN=TOP, OUT=BOTTOM, LEFT.</t>
        </is>
      </c>
      <c r="AH50" t="inlineStr">
        <is>
          <t>TOP</t>
        </is>
      </c>
      <c r="AI50" t="inlineStr">
        <is>
          <t>BOTTOM, LEFT</t>
        </is>
      </c>
      <c r="AJ50" t="inlineStr">
        <is>
          <t>VERIFIED</t>
        </is>
      </c>
      <c r="AK50" t="inlineStr">
        <is>
          <t>Verified from supplied original-card scan: Groups/INWO - Clone Arrangers.png. Triangle orientation establishes IN=TOP, OUT=BOTTOM, LEFT.</t>
        </is>
      </c>
    </row>
    <row r="51" ht="34" customHeight="1" s="16">
      <c r="A51" s="20" t="inlineStr">
        <is>
          <t>Comic Books</t>
        </is>
      </c>
      <c r="B51" s="20" t="inlineStr">
        <is>
          <t>Group</t>
        </is>
      </c>
      <c r="C51" s="20" t="inlineStr">
        <is>
          <t>Organization</t>
        </is>
      </c>
      <c r="D51" s="20" t="inlineStr">
        <is>
          <t>Uncommon</t>
        </is>
      </c>
      <c r="E51" s="20" t="inlineStr">
        <is>
          <t>1/1</t>
        </is>
      </c>
      <c r="F51" s="20" t="inlineStr">
        <is>
          <t>1</t>
        </is>
      </c>
      <c r="G51" s="20" t="inlineStr">
        <is>
          <t>Weird, Violent</t>
        </is>
      </c>
      <c r="H51" s="20" t="inlineStr">
        <is>
          <t>Media</t>
        </is>
      </c>
      <c r="I51" s="20" t="inlineStr">
        <is>
          <t>When attacking to control a Weird group, or aiding that attack, the target's printed Resistance becomes 0 and it gets no Weird-master Resistance bonus for that attack.</t>
        </is>
      </c>
      <c r="J51" s="20" t="inlineStr">
        <is>
          <t>Needs rules-engine encoding</t>
        </is>
      </c>
      <c r="K51" s="20" t="inlineStr">
        <is>
          <t>High</t>
        </is>
      </c>
      <c r="L51" s="20" t="inlineStr">
        <is>
          <t>Mechanics and outgoing-arrow count checked against the printed card; described in our own words. Exact physical edge placement tracked separately.</t>
        </is>
      </c>
      <c r="M51" s="20" t="inlineStr">
        <is>
          <t>https://www.scribd.com/document/851089808/TheINWOBook</t>
        </is>
      </c>
      <c r="N51" t="inlineStr">
        <is>
          <t>Passive or activated special ability</t>
        </is>
      </c>
      <c r="O51" t="inlineStr">
        <is>
          <t>Per card ability</t>
        </is>
      </c>
      <c r="Q51" t="inlineStr">
        <is>
          <t>While controlled / per effect</t>
        </is>
      </c>
      <c r="R51" t="inlineStr">
        <is>
          <t>When attacking to control a Weird group, or aiding that attack, the target's printed Resistance becomes 0 and it gets no Weird-master Resistance bonus for that attack.</t>
        </is>
      </c>
      <c r="S51" t="inlineStr">
        <is>
          <t>NO</t>
        </is>
      </c>
      <c r="T51" t="inlineStr">
        <is>
          <t>1 incoming control arrow</t>
        </is>
      </c>
      <c r="U51" t="n">
        <v>1</v>
      </c>
      <c r="V51" t="inlineStr">
        <is>
          <t>N/A — INWO uses Plots instead of group income/money</t>
        </is>
      </c>
      <c r="W51" t="inlineStr">
        <is>
          <t>Standard: 1 action token (Illuminati: 1 Illuminati action); verified mechanics state no override</t>
        </is>
      </c>
      <c r="X51" t="inlineStr">
        <is>
          <t>One copy in play at a time; spare copies act as hidden agents vs. a rival's copy; a destroyed Group cannot be replayed unless a card returns it (base rule)</t>
        </is>
      </c>
      <c r="Y51" t="inlineStr">
        <is>
          <t>None beyond base rules (verified mechanics state no override)</t>
        </is>
      </c>
      <c r="Z51" t="inlineStr">
        <is>
          <t>Standard response window (verified mechanics state no override)</t>
        </is>
      </c>
      <c r="AA51" t="inlineStr">
        <is>
          <t>Specific card overrides general rules</t>
        </is>
      </c>
      <c r="AB51" t="inlineStr">
        <is>
          <t>Indexed INWO Book, Groups section</t>
        </is>
      </c>
      <c r="AC51" t="inlineStr">
        <is>
          <t>FUNCTIONALLY COMPLETE</t>
        </is>
      </c>
      <c r="AE51" t="inlineStr">
        <is>
          <t>Indexed INWO Book / historical cross-check</t>
        </is>
      </c>
      <c r="AF51" t="inlineStr">
        <is>
          <t>EXACT EDGE POSITIONS VERIFIED</t>
        </is>
      </c>
      <c r="AG51" t="inlineStr">
        <is>
          <t>Verified from supplied original-card scan: Groups/INWO - Comic Books.png. Triangle orientation establishes IN=TOP, OUT=BOTTOM.</t>
        </is>
      </c>
      <c r="AH51" t="inlineStr">
        <is>
          <t>TOP</t>
        </is>
      </c>
      <c r="AI51" t="inlineStr">
        <is>
          <t>BOTTOM</t>
        </is>
      </c>
      <c r="AJ51" t="inlineStr">
        <is>
          <t>VERIFIED</t>
        </is>
      </c>
      <c r="AK51" t="inlineStr">
        <is>
          <t>Verified from supplied original-card scan: Groups/INWO - Comic Books.png. Triangle orientation establishes IN=TOP, OUT=BOTTOM.</t>
        </is>
      </c>
    </row>
    <row r="52" ht="34" customHeight="1" s="16">
      <c r="A52" s="20" t="inlineStr">
        <is>
          <t>Congressional Wives</t>
        </is>
      </c>
      <c r="B52" s="20" t="inlineStr">
        <is>
          <t>Group</t>
        </is>
      </c>
      <c r="C52" s="20" t="inlineStr">
        <is>
          <t>Organization</t>
        </is>
      </c>
      <c r="D52" s="20" t="inlineStr">
        <is>
          <t>Uncommon</t>
        </is>
      </c>
      <c r="E52" s="20" t="inlineStr">
        <is>
          <t>1</t>
        </is>
      </c>
      <c r="F52" s="20" t="inlineStr">
        <is>
          <t>4</t>
        </is>
      </c>
      <c r="G52" s="20" t="inlineStr">
        <is>
          <t>Straight, Conservative</t>
        </is>
      </c>
      <c r="H52" s="20" t="str"/>
      <c r="I52" s="20" t="inlineStr">
        <is>
          <t>Gets +10 when it leads an Attack to Control against a Government group.</t>
        </is>
      </c>
      <c r="J52" s="20" t="inlineStr">
        <is>
          <t>Needs rules-engine encoding</t>
        </is>
      </c>
      <c r="K52" s="20" t="inlineStr">
        <is>
          <t>High</t>
        </is>
      </c>
      <c r="L52" s="20" t="inlineStr">
        <is>
          <t>Mechanics and outgoing-arrow count checked against the printed card; described in our own words. Exact physical edge placement tracked separately.</t>
        </is>
      </c>
      <c r="M52" s="20" t="inlineStr">
        <is>
          <t>https://www.scribd.com/document/851089808/TheINWOBook</t>
        </is>
      </c>
      <c r="N52" t="inlineStr">
        <is>
          <t>Passive or activated special ability</t>
        </is>
      </c>
      <c r="O52" t="inlineStr">
        <is>
          <t>Per card ability</t>
        </is>
      </c>
      <c r="Q52" t="inlineStr">
        <is>
          <t>While controlled / per effect</t>
        </is>
      </c>
      <c r="R52" t="inlineStr">
        <is>
          <t>Gets +10 when it leads an Attack to Control against a Government group.</t>
        </is>
      </c>
      <c r="S52" t="inlineStr">
        <is>
          <t>NO</t>
        </is>
      </c>
      <c r="T52" t="inlineStr">
        <is>
          <t>1 incoming control arrow</t>
        </is>
      </c>
      <c r="U52" t="n">
        <v>1</v>
      </c>
      <c r="V52" t="inlineStr">
        <is>
          <t>N/A — INWO uses Plots instead of group income/money</t>
        </is>
      </c>
      <c r="W52" t="inlineStr">
        <is>
          <t>Standard: 1 action token (Illuminati: 1 Illuminati action); verified mechanics state no override</t>
        </is>
      </c>
      <c r="X52" t="inlineStr">
        <is>
          <t>One copy in play at a time; spare copies act as hidden agents vs. a rival's copy; a destroyed Group cannot be replayed unless a card returns it (base rule)</t>
        </is>
      </c>
      <c r="Y52" t="inlineStr">
        <is>
          <t>None beyond base rules (verified mechanics state no override)</t>
        </is>
      </c>
      <c r="Z52" t="inlineStr">
        <is>
          <t>Standard response window (verified mechanics state no override)</t>
        </is>
      </c>
      <c r="AA52" t="inlineStr">
        <is>
          <t>Specific card overrides general rules</t>
        </is>
      </c>
      <c r="AB52" t="inlineStr">
        <is>
          <t>Indexed INWO Book, Groups section</t>
        </is>
      </c>
      <c r="AC52" t="inlineStr">
        <is>
          <t>FUNCTIONALLY COMPLETE</t>
        </is>
      </c>
      <c r="AE52" t="inlineStr">
        <is>
          <t>Indexed INWO Book / historical cross-check</t>
        </is>
      </c>
      <c r="AF52" t="inlineStr">
        <is>
          <t>EXACT EDGE POSITIONS VERIFIED</t>
        </is>
      </c>
      <c r="AG52" t="inlineStr">
        <is>
          <t>Verified from supplied original-card scan: Groups/INWO - Congressional Wives.png. Triangle orientation establishes IN=TOP, OUT=RIGHT.</t>
        </is>
      </c>
      <c r="AH52" t="inlineStr">
        <is>
          <t>TOP</t>
        </is>
      </c>
      <c r="AI52" t="inlineStr">
        <is>
          <t>RIGHT</t>
        </is>
      </c>
      <c r="AJ52" t="inlineStr">
        <is>
          <t>VERIFIED</t>
        </is>
      </c>
      <c r="AK52" t="inlineStr">
        <is>
          <t>Verified from supplied original-card scan: Groups/INWO - Congressional Wives.png. Triangle orientation establishes IN=TOP, OUT=RIGHT.</t>
        </is>
      </c>
    </row>
    <row r="53" ht="34" customHeight="1" s="16">
      <c r="A53" s="20" t="inlineStr">
        <is>
          <t>Conspiracy Theorists</t>
        </is>
      </c>
      <c r="B53" s="20" t="inlineStr">
        <is>
          <t>Group</t>
        </is>
      </c>
      <c r="C53" s="20" t="inlineStr">
        <is>
          <t>Organization</t>
        </is>
      </c>
      <c r="D53" s="20" t="inlineStr">
        <is>
          <t>Common</t>
        </is>
      </c>
      <c r="E53" s="20" t="inlineStr">
        <is>
          <t>0</t>
        </is>
      </c>
      <c r="F53" s="20" t="inlineStr">
        <is>
          <t>6</t>
        </is>
      </c>
      <c r="G53" s="20" t="inlineStr">
        <is>
          <t>Weird</t>
        </is>
      </c>
      <c r="H53" s="20" t="str"/>
      <c r="I53" s="20" t="inlineStr">
        <is>
          <t>While controlled, your Plot hand limit is increased by one.</t>
        </is>
      </c>
      <c r="J53" s="20" t="inlineStr">
        <is>
          <t>Needs rules-engine encoding</t>
        </is>
      </c>
      <c r="K53" s="20" t="inlineStr">
        <is>
          <t>High</t>
        </is>
      </c>
      <c r="L53" s="20" t="inlineStr">
        <is>
          <t>Mechanics and outgoing-arrow count checked against the printed card; described in our own words. Exact physical edge placement tracked separately.</t>
        </is>
      </c>
      <c r="M53" s="20" t="inlineStr">
        <is>
          <t>https://www.scribd.com/document/851089808/TheINWOBook</t>
        </is>
      </c>
      <c r="N53" t="inlineStr">
        <is>
          <t>Passive or activated special ability</t>
        </is>
      </c>
      <c r="O53" t="inlineStr">
        <is>
          <t>Per card ability</t>
        </is>
      </c>
      <c r="Q53" t="inlineStr">
        <is>
          <t>While controlled / per effect</t>
        </is>
      </c>
      <c r="R53" t="inlineStr">
        <is>
          <t>While controlled, your Plot hand limit is increased by one.</t>
        </is>
      </c>
      <c r="S53" t="inlineStr">
        <is>
          <t>NO</t>
        </is>
      </c>
      <c r="T53" t="inlineStr">
        <is>
          <t>1 incoming control arrow</t>
        </is>
      </c>
      <c r="U53" t="n">
        <v>0</v>
      </c>
      <c r="V53" t="inlineStr">
        <is>
          <t>N/A — INWO uses Plots instead of group income/money</t>
        </is>
      </c>
      <c r="W53" t="inlineStr">
        <is>
          <t>Standard: 1 action token (Illuminati: 1 Illuminati action); verified mechanics state no override</t>
        </is>
      </c>
      <c r="X53" t="inlineStr">
        <is>
          <t>One copy in play at a time; spare copies act as hidden agents vs. a rival's copy; a destroyed Group cannot be replayed unless a card returns it (base rule)</t>
        </is>
      </c>
      <c r="Y53" t="inlineStr">
        <is>
          <t>None beyond base rules (verified mechanics state no override)</t>
        </is>
      </c>
      <c r="Z53" t="inlineStr">
        <is>
          <t>Standard response window (verified mechanics state no override)</t>
        </is>
      </c>
      <c r="AA53" t="inlineStr">
        <is>
          <t>Specific card overrides general rules</t>
        </is>
      </c>
      <c r="AB53" t="inlineStr">
        <is>
          <t>Indexed INWO Book, Groups section</t>
        </is>
      </c>
      <c r="AC53" t="inlineStr">
        <is>
          <t>FUNCTIONALLY COMPLETE</t>
        </is>
      </c>
      <c r="AE53" t="inlineStr">
        <is>
          <t>Indexed INWO Book / historical cross-check</t>
        </is>
      </c>
      <c r="AF53" t="inlineStr">
        <is>
          <t>EXACT EDGE POSITIONS VERIFIED</t>
        </is>
      </c>
      <c r="AG53" t="inlineStr">
        <is>
          <t>Verified from supplied original-card scan: Groups/INWO - Conspiracy Theorists.png. Triangle orientation establishes IN=TOP, OUT=NONE.</t>
        </is>
      </c>
      <c r="AH53" t="inlineStr">
        <is>
          <t>TOP</t>
        </is>
      </c>
      <c r="AI53" t="inlineStr">
        <is>
          <t>NONE</t>
        </is>
      </c>
      <c r="AJ53" t="inlineStr">
        <is>
          <t>VERIFIED</t>
        </is>
      </c>
      <c r="AK53" t="inlineStr">
        <is>
          <t>Verified from supplied original-card scan: Groups/INWO - Conspiracy Theorists.png. Triangle orientation establishes IN=TOP, OUT=NONE.</t>
        </is>
      </c>
    </row>
    <row r="54" ht="34" customHeight="1" s="16">
      <c r="A54" s="20" t="inlineStr">
        <is>
          <t>Cycle Gangs</t>
        </is>
      </c>
      <c r="B54" s="20" t="inlineStr">
        <is>
          <t>Group</t>
        </is>
      </c>
      <c r="C54" s="20" t="inlineStr">
        <is>
          <t>Organization</t>
        </is>
      </c>
      <c r="D54" s="20" t="inlineStr">
        <is>
          <t>Common</t>
        </is>
      </c>
      <c r="E54" s="20" t="inlineStr">
        <is>
          <t>1</t>
        </is>
      </c>
      <c r="F54" s="20" t="inlineStr">
        <is>
          <t>4</t>
        </is>
      </c>
      <c r="G54" s="20" t="inlineStr">
        <is>
          <t>Violent, Weird</t>
        </is>
      </c>
      <c r="H54" s="20" t="str"/>
      <c r="I54" s="20" t="inlineStr">
        <is>
          <t>+2 to any destruction attempt, or +4 to any Disaster you play except a Space Disaster.</t>
        </is>
      </c>
      <c r="J54" s="20" t="inlineStr">
        <is>
          <t>Needs rules-engine encoding</t>
        </is>
      </c>
      <c r="K54" s="20" t="inlineStr">
        <is>
          <t>High</t>
        </is>
      </c>
      <c r="L54" s="20" t="inlineStr">
        <is>
          <t>Mechanics and outgoing-arrow count checked against the printed card; described in our own words. Exact physical edge placement tracked separately.</t>
        </is>
      </c>
      <c r="M54" s="20" t="inlineStr">
        <is>
          <t>https://www.scribd.com/document/851089808/TheINWOBook</t>
        </is>
      </c>
      <c r="N54" t="inlineStr">
        <is>
          <t>Passive or activated special ability</t>
        </is>
      </c>
      <c r="O54" t="inlineStr">
        <is>
          <t>Per card ability</t>
        </is>
      </c>
      <c r="Q54" t="inlineStr">
        <is>
          <t>While controlled / per effect</t>
        </is>
      </c>
      <c r="R54" t="inlineStr">
        <is>
          <t>+2 to any destruction attempt, or +4 to any Disaster you play except a Space Disaster.</t>
        </is>
      </c>
      <c r="S54" t="inlineStr">
        <is>
          <t>NO</t>
        </is>
      </c>
      <c r="T54" t="inlineStr">
        <is>
          <t>1 incoming control arrow</t>
        </is>
      </c>
      <c r="U54" t="n">
        <v>0</v>
      </c>
      <c r="V54" t="inlineStr">
        <is>
          <t>N/A — INWO uses Plots instead of group income/money</t>
        </is>
      </c>
      <c r="W54" t="inlineStr">
        <is>
          <t>Standard: 1 action token (Illuminati: 1 Illuminati action); verified mechanics state no override</t>
        </is>
      </c>
      <c r="X54" t="inlineStr">
        <is>
          <t>One copy in play at a time; spare copies act as hidden agents vs. a rival's copy; a destroyed Group cannot be replayed unless a card returns it (base rule)</t>
        </is>
      </c>
      <c r="Y54" t="inlineStr">
        <is>
          <t>None beyond base rules (verified mechanics state no override)</t>
        </is>
      </c>
      <c r="Z54" t="inlineStr">
        <is>
          <t>Standard response window (verified mechanics state no override)</t>
        </is>
      </c>
      <c r="AA54" t="inlineStr">
        <is>
          <t>Specific card overrides general rules</t>
        </is>
      </c>
      <c r="AB54" t="inlineStr">
        <is>
          <t>Indexed INWO Book, Groups section</t>
        </is>
      </c>
      <c r="AC54" t="inlineStr">
        <is>
          <t>FUNCTIONALLY COMPLETE</t>
        </is>
      </c>
      <c r="AE54" t="inlineStr">
        <is>
          <t>Indexed INWO Book / historical cross-check</t>
        </is>
      </c>
      <c r="AF54" t="inlineStr">
        <is>
          <t>EXACT EDGE POSITIONS VERIFIED</t>
        </is>
      </c>
      <c r="AG54" t="inlineStr">
        <is>
          <t>Verified from supplied original-card scan: Groups/INWO - Cycle Gangs.png. Triangle orientation establishes IN=TOP, OUT=NONE.</t>
        </is>
      </c>
      <c r="AH54" t="inlineStr">
        <is>
          <t>TOP</t>
        </is>
      </c>
      <c r="AI54" t="inlineStr">
        <is>
          <t>NONE</t>
        </is>
      </c>
      <c r="AJ54" t="inlineStr">
        <is>
          <t>VERIFIED</t>
        </is>
      </c>
      <c r="AK54" t="inlineStr">
        <is>
          <t>Verified from supplied original-card scan: Groups/INWO - Cycle Gangs.png. Triangle orientation establishes IN=TOP, OUT=NONE.</t>
        </is>
      </c>
    </row>
    <row r="55" ht="34" customHeight="1" s="16">
      <c r="A55" s="20" t="inlineStr">
        <is>
          <t>Democrats</t>
        </is>
      </c>
      <c r="B55" s="20" t="inlineStr">
        <is>
          <t>Group</t>
        </is>
      </c>
      <c r="C55" s="20" t="inlineStr">
        <is>
          <t>Organization</t>
        </is>
      </c>
      <c r="D55" s="20" t="inlineStr">
        <is>
          <t>Uncommon</t>
        </is>
      </c>
      <c r="E55" s="20" t="inlineStr">
        <is>
          <t>6/5</t>
        </is>
      </c>
      <c r="F55" s="20" t="inlineStr">
        <is>
          <t>4</t>
        </is>
      </c>
      <c r="G55" s="20" t="inlineStr">
        <is>
          <t>Liberal</t>
        </is>
      </c>
      <c r="H55" s="20" t="str"/>
      <c r="I55" s="20" t="inlineStr">
        <is>
          <t>Gets +4 when it leads an Attack to Control against a non-Nation Government group.</t>
        </is>
      </c>
      <c r="J55" s="20" t="inlineStr">
        <is>
          <t>Needs rules-engine encoding</t>
        </is>
      </c>
      <c r="K55" s="20" t="inlineStr">
        <is>
          <t>High</t>
        </is>
      </c>
      <c r="L55" s="20" t="inlineStr">
        <is>
          <t>Mechanics and outgoing-arrow count checked against the printed card; described in our own words. Exact physical edge placement tracked separately.</t>
        </is>
      </c>
      <c r="M55" s="20" t="inlineStr">
        <is>
          <t>https://www.scribd.com/document/851089808/TheINWOBook</t>
        </is>
      </c>
      <c r="N55" t="inlineStr">
        <is>
          <t>Passive or activated special ability</t>
        </is>
      </c>
      <c r="O55" t="inlineStr">
        <is>
          <t>Per card ability</t>
        </is>
      </c>
      <c r="Q55" t="inlineStr">
        <is>
          <t>While controlled / per effect</t>
        </is>
      </c>
      <c r="R55" t="inlineStr">
        <is>
          <t>Gets +4 when it leads an Attack to Control against a non-Nation Government group.</t>
        </is>
      </c>
      <c r="S55" t="inlineStr">
        <is>
          <t>NO</t>
        </is>
      </c>
      <c r="T55" t="inlineStr">
        <is>
          <t>1 incoming control arrow</t>
        </is>
      </c>
      <c r="U55" t="n">
        <v>2</v>
      </c>
      <c r="V55" t="inlineStr">
        <is>
          <t>N/A — INWO uses Plots instead of group income/money</t>
        </is>
      </c>
      <c r="W55" t="inlineStr">
        <is>
          <t>Standard: 1 action token (Illuminati: 1 Illuminati action); verified mechanics state no override</t>
        </is>
      </c>
      <c r="X55" t="inlineStr">
        <is>
          <t>One copy in play at a time; spare copies act as hidden agents vs. a rival's copy; a destroyed Group cannot be replayed unless a card returns it (base rule)</t>
        </is>
      </c>
      <c r="Y55" t="inlineStr">
        <is>
          <t>None beyond base rules (verified mechanics state no override)</t>
        </is>
      </c>
      <c r="Z55" t="inlineStr">
        <is>
          <t>Standard response window (verified mechanics state no override)</t>
        </is>
      </c>
      <c r="AA55" t="inlineStr">
        <is>
          <t>Specific card overrides general rules</t>
        </is>
      </c>
      <c r="AB55" t="inlineStr">
        <is>
          <t>Indexed INWO Book, Groups section</t>
        </is>
      </c>
      <c r="AC55" t="inlineStr">
        <is>
          <t>FUNCTIONALLY COMPLETE</t>
        </is>
      </c>
      <c r="AE55" t="inlineStr">
        <is>
          <t>Indexed INWO Book / historical cross-check</t>
        </is>
      </c>
      <c r="AF55" t="inlineStr">
        <is>
          <t>EXACT EDGE POSITIONS VERIFIED</t>
        </is>
      </c>
      <c r="AG55" t="inlineStr">
        <is>
          <t>Verified from supplied original-card scan: Groups/INWO - Democrats.png. Triangle orientation establishes IN=TOP, OUT=LEFT, RIGHT.</t>
        </is>
      </c>
      <c r="AH55" t="inlineStr">
        <is>
          <t>TOP</t>
        </is>
      </c>
      <c r="AI55" t="inlineStr">
        <is>
          <t>LEFT, RIGHT</t>
        </is>
      </c>
      <c r="AJ55" t="inlineStr">
        <is>
          <t>VERIFIED</t>
        </is>
      </c>
      <c r="AK55" t="inlineStr">
        <is>
          <t>Verified from supplied original-card scan: Groups/INWO - Democrats.png. Triangle orientation establishes IN=TOP, OUT=LEFT, RIGHT.</t>
        </is>
      </c>
    </row>
    <row r="56" ht="34" customHeight="1" s="16">
      <c r="A56" s="20" t="inlineStr">
        <is>
          <t>Dentists</t>
        </is>
      </c>
      <c r="B56" s="20" t="inlineStr">
        <is>
          <t>Group</t>
        </is>
      </c>
      <c r="C56" s="20" t="inlineStr">
        <is>
          <t>Organization</t>
        </is>
      </c>
      <c r="D56" s="20" t="inlineStr">
        <is>
          <t>Common</t>
        </is>
      </c>
      <c r="E56" s="20" t="inlineStr">
        <is>
          <t>1</t>
        </is>
      </c>
      <c r="F56" s="20" t="inlineStr">
        <is>
          <t>2</t>
        </is>
      </c>
      <c r="G56" s="20" t="inlineStr">
        <is>
          <t>Straight</t>
        </is>
      </c>
      <c r="H56" s="20" t="str"/>
      <c r="I56" s="20" t="inlineStr">
        <is>
          <t>As an action, cancel the action or actions of a Personality.</t>
        </is>
      </c>
      <c r="J56" s="20" t="inlineStr">
        <is>
          <t>Needs rules-engine encoding</t>
        </is>
      </c>
      <c r="K56" s="20" t="inlineStr">
        <is>
          <t>High</t>
        </is>
      </c>
      <c r="L56" s="20" t="inlineStr">
        <is>
          <t>Mechanics and outgoing-arrow count checked against the printed card; described in our own words. Exact physical edge placement tracked separately.</t>
        </is>
      </c>
      <c r="M56" s="20" t="inlineStr">
        <is>
          <t>https://www.scribd.com/document/851089808/TheINWOBook</t>
        </is>
      </c>
      <c r="N56" t="inlineStr">
        <is>
          <t>Passive or activated special ability</t>
        </is>
      </c>
      <c r="O56" t="inlineStr">
        <is>
          <t>Per card ability</t>
        </is>
      </c>
      <c r="Q56" t="inlineStr">
        <is>
          <t>While controlled / per effect</t>
        </is>
      </c>
      <c r="R56" t="inlineStr">
        <is>
          <t>As an action, cancel the action or actions of a Personality.</t>
        </is>
      </c>
      <c r="S56" t="inlineStr">
        <is>
          <t>NO</t>
        </is>
      </c>
      <c r="T56" t="inlineStr">
        <is>
          <t>1 incoming control arrow</t>
        </is>
      </c>
      <c r="U56" t="n">
        <v>0</v>
      </c>
      <c r="V56" t="inlineStr">
        <is>
          <t>N/A — INWO uses Plots instead of group income/money</t>
        </is>
      </c>
      <c r="W56" t="inlineStr">
        <is>
          <t>Standard: 1 action token (Illuminati: 1 Illuminati action); verified mechanics state no override</t>
        </is>
      </c>
      <c r="X56" t="inlineStr">
        <is>
          <t>One copy in play at a time; spare copies act as hidden agents vs. a rival's copy; a destroyed Group cannot be replayed unless a card returns it (base rule)</t>
        </is>
      </c>
      <c r="Y56" t="inlineStr">
        <is>
          <t>None beyond base rules (verified mechanics state no override)</t>
        </is>
      </c>
      <c r="Z56" t="inlineStr">
        <is>
          <t>Standard response window (verified mechanics state no override)</t>
        </is>
      </c>
      <c r="AA56" t="inlineStr">
        <is>
          <t>Specific card overrides general rules</t>
        </is>
      </c>
      <c r="AB56" t="inlineStr">
        <is>
          <t>Indexed INWO Book, Groups section</t>
        </is>
      </c>
      <c r="AC56" t="inlineStr">
        <is>
          <t>FUNCTIONALLY COMPLETE</t>
        </is>
      </c>
      <c r="AE56" t="inlineStr">
        <is>
          <t>Indexed INWO Book / historical cross-check</t>
        </is>
      </c>
      <c r="AF56" t="inlineStr">
        <is>
          <t>EXACT EDGE POSITIONS VERIFIED</t>
        </is>
      </c>
      <c r="AG56" t="inlineStr">
        <is>
          <t>Verified from supplied original-card scan: Groups/INWO - Dentists.png. Triangle orientation establishes IN=TOP, OUT=NONE.</t>
        </is>
      </c>
      <c r="AH56" t="inlineStr">
        <is>
          <t>TOP</t>
        </is>
      </c>
      <c r="AI56" t="inlineStr">
        <is>
          <t>NONE</t>
        </is>
      </c>
      <c r="AJ56" t="inlineStr">
        <is>
          <t>VERIFIED</t>
        </is>
      </c>
      <c r="AK56" t="inlineStr">
        <is>
          <t>Verified from supplied original-card scan: Groups/INWO - Dentists.png. Triangle orientation establishes IN=TOP, OUT=NONE.</t>
        </is>
      </c>
    </row>
    <row r="57" ht="34" customHeight="1" s="16">
      <c r="A57" s="20" t="inlineStr">
        <is>
          <t>Deprogrammers</t>
        </is>
      </c>
      <c r="B57" s="20" t="inlineStr">
        <is>
          <t>Group</t>
        </is>
      </c>
      <c r="C57" s="20" t="inlineStr">
        <is>
          <t>Organization</t>
        </is>
      </c>
      <c r="D57" s="20" t="inlineStr">
        <is>
          <t>Uncommon</t>
        </is>
      </c>
      <c r="E57" s="20" t="inlineStr">
        <is>
          <t>1</t>
        </is>
      </c>
      <c r="F57" s="20" t="inlineStr">
        <is>
          <t>4</t>
        </is>
      </c>
      <c r="G57" s="20" t="inlineStr">
        <is>
          <t>Straight</t>
        </is>
      </c>
      <c r="H57" s="20" t="str"/>
      <c r="I57" s="20" t="inlineStr">
        <is>
          <t>Your attacks to destroy get +4 against a Weird or a Fanatic group, and +8 against a group with both alignments; may affect Discordian-protected Straight targets as specified.</t>
        </is>
      </c>
      <c r="J57" s="20" t="inlineStr">
        <is>
          <t>Needs rules-engine encoding</t>
        </is>
      </c>
      <c r="K57" s="20" t="inlineStr">
        <is>
          <t>High</t>
        </is>
      </c>
      <c r="L57" s="20" t="inlineStr">
        <is>
          <t>Mechanics and outgoing-arrow count checked against the printed card; described in our own words. Exact physical edge placement tracked separately.</t>
        </is>
      </c>
      <c r="M57" s="20" t="inlineStr">
        <is>
          <t>https://www.scribd.com/document/851089808/TheINWOBook</t>
        </is>
      </c>
      <c r="N57" t="inlineStr">
        <is>
          <t>Passive or activated special ability</t>
        </is>
      </c>
      <c r="O57" t="inlineStr">
        <is>
          <t>Per card ability</t>
        </is>
      </c>
      <c r="Q57" t="inlineStr">
        <is>
          <t>While controlled / per effect</t>
        </is>
      </c>
      <c r="R57" t="inlineStr">
        <is>
          <t>Your attacks to destroy get +4 against a Weird or a Fanatic group, and +8 against a group with both alignments; may affect Discordian-protected Straight targets as specified.</t>
        </is>
      </c>
      <c r="S57" t="inlineStr">
        <is>
          <t>NO</t>
        </is>
      </c>
      <c r="T57" t="inlineStr">
        <is>
          <t>1 incoming control arrow</t>
        </is>
      </c>
      <c r="U57" t="n">
        <v>0</v>
      </c>
      <c r="V57" t="inlineStr">
        <is>
          <t>N/A — INWO uses Plots instead of group income/money</t>
        </is>
      </c>
      <c r="W57" t="inlineStr">
        <is>
          <t>Standard: 1 action token (Illuminati: 1 Illuminati action); verified mechanics state no override</t>
        </is>
      </c>
      <c r="X57" t="inlineStr">
        <is>
          <t>One copy in play at a time; spare copies act as hidden agents vs. a rival's copy; a destroyed Group cannot be replayed unless a card returns it (base rule)</t>
        </is>
      </c>
      <c r="Y57" t="inlineStr">
        <is>
          <t>None beyond base rules (verified mechanics state no override)</t>
        </is>
      </c>
      <c r="Z57" t="inlineStr">
        <is>
          <t>Standard response window (verified mechanics state no override)</t>
        </is>
      </c>
      <c r="AA57" t="inlineStr">
        <is>
          <t>Specific card overrides general rules</t>
        </is>
      </c>
      <c r="AB57" t="inlineStr">
        <is>
          <t>Indexed INWO Book, Groups section</t>
        </is>
      </c>
      <c r="AC57" t="inlineStr">
        <is>
          <t>FUNCTIONALLY COMPLETE</t>
        </is>
      </c>
      <c r="AE57" t="inlineStr">
        <is>
          <t>Indexed INWO Book / historical cross-check</t>
        </is>
      </c>
      <c r="AF57" t="inlineStr">
        <is>
          <t>EXACT EDGE POSITIONS VERIFIED</t>
        </is>
      </c>
      <c r="AG57" t="inlineStr">
        <is>
          <t>Verified from supplied original-card scan: Groups/INWO - Deprogrammers.png. Triangle orientation establishes IN=TOP, OUT=NONE.</t>
        </is>
      </c>
      <c r="AH57" t="inlineStr">
        <is>
          <t>TOP</t>
        </is>
      </c>
      <c r="AI57" t="inlineStr">
        <is>
          <t>NONE</t>
        </is>
      </c>
      <c r="AJ57" t="inlineStr">
        <is>
          <t>VERIFIED</t>
        </is>
      </c>
      <c r="AK57" t="inlineStr">
        <is>
          <t>Verified from supplied original-card scan: Groups/INWO - Deprogrammers.png. Triangle orientation establishes IN=TOP, OUT=NONE.</t>
        </is>
      </c>
    </row>
    <row r="58" ht="34" customHeight="1" s="16">
      <c r="A58" s="20" t="inlineStr">
        <is>
          <t>Druids</t>
        </is>
      </c>
      <c r="B58" s="20" t="inlineStr">
        <is>
          <t>Group</t>
        </is>
      </c>
      <c r="C58" s="20" t="inlineStr">
        <is>
          <t>Organization</t>
        </is>
      </c>
      <c r="D58" s="20" t="inlineStr">
        <is>
          <t>Common</t>
        </is>
      </c>
      <c r="E58" s="20" t="inlineStr">
        <is>
          <t>2/1</t>
        </is>
      </c>
      <c r="F58" s="20" t="inlineStr">
        <is>
          <t>4</t>
        </is>
      </c>
      <c r="G58" s="20" t="inlineStr">
        <is>
          <t>None</t>
        </is>
      </c>
      <c r="H58" s="20" t="inlineStr">
        <is>
          <t>Magic, Green</t>
        </is>
      </c>
      <c r="I58" s="20" t="inlineStr">
        <is>
          <t>May aid or oppose attacks by or against Magic groups, even Secret ones. Link to any Place in play: that Place gets effective +8 Power against Disasters; if the Place is destroyed, Druids are also destroyed.</t>
        </is>
      </c>
      <c r="J58" s="20" t="inlineStr">
        <is>
          <t>Needs rules-engine encoding</t>
        </is>
      </c>
      <c r="K58" s="20" t="inlineStr">
        <is>
          <t>High</t>
        </is>
      </c>
      <c r="L58" s="20" t="inlineStr">
        <is>
          <t>Mechanics and outgoing-arrow count checked against the printed card; described in our own words. Exact physical edge placement tracked separately.</t>
        </is>
      </c>
      <c r="M58" s="20" t="inlineStr">
        <is>
          <t>https://www.scribd.com/document/851089808/TheINWOBook</t>
        </is>
      </c>
      <c r="N58" t="inlineStr">
        <is>
          <t>Passive or activated special ability</t>
        </is>
      </c>
      <c r="O58" t="inlineStr">
        <is>
          <t>Per card ability</t>
        </is>
      </c>
      <c r="Q58" t="inlineStr">
        <is>
          <t>While controlled / per effect</t>
        </is>
      </c>
      <c r="R58" t="inlineStr">
        <is>
          <t>May aid or oppose attacks by or against Magic groups, even Secret ones. Link to any Place in play: that Place gets effective +8 Power against Disasters; if the Place is destroyed, Druids are also destroyed.</t>
        </is>
      </c>
      <c r="S58" t="inlineStr">
        <is>
          <t>NO</t>
        </is>
      </c>
      <c r="T58" t="inlineStr">
        <is>
          <t>1 incoming control arrow</t>
        </is>
      </c>
      <c r="U58" t="n">
        <v>1</v>
      </c>
      <c r="V58" t="inlineStr">
        <is>
          <t>N/A — INWO uses Plots instead of group income/money</t>
        </is>
      </c>
      <c r="W58" t="inlineStr">
        <is>
          <t>Standard: 1 action token (Illuminati: 1 Illuminati action); verified mechanics state no override</t>
        </is>
      </c>
      <c r="X58" t="inlineStr">
        <is>
          <t>One copy in play at a time; spare copies act as hidden agents vs. a rival's copy; a destroyed Group cannot be replayed unless a card returns it (base rule)</t>
        </is>
      </c>
      <c r="Y58" t="inlineStr">
        <is>
          <t>None beyond base rules (verified mechanics state no override)</t>
        </is>
      </c>
      <c r="Z58" t="inlineStr">
        <is>
          <t>Standard response window (verified mechanics state no override)</t>
        </is>
      </c>
      <c r="AA58" t="inlineStr">
        <is>
          <t>Specific card overrides general rules</t>
        </is>
      </c>
      <c r="AB58" t="inlineStr">
        <is>
          <t>Indexed INWO Book, Groups section</t>
        </is>
      </c>
      <c r="AC58" t="inlineStr">
        <is>
          <t>FUNCTIONALLY COMPLETE</t>
        </is>
      </c>
      <c r="AE58" t="inlineStr">
        <is>
          <t>Indexed INWO Book / historical cross-check</t>
        </is>
      </c>
      <c r="AF58" t="inlineStr">
        <is>
          <t>EXACT EDGE POSITIONS VERIFIED</t>
        </is>
      </c>
      <c r="AG58" t="inlineStr">
        <is>
          <t>Verified from supplied original-card scan: Groups/INWO - Druids.png. Triangle orientation establishes IN=BOTTOM, OUT=TOP.</t>
        </is>
      </c>
      <c r="AH58" t="inlineStr">
        <is>
          <t>BOTTOM</t>
        </is>
      </c>
      <c r="AI58" t="inlineStr">
        <is>
          <t>TOP</t>
        </is>
      </c>
      <c r="AJ58" t="inlineStr">
        <is>
          <t>VERIFIED</t>
        </is>
      </c>
      <c r="AK58" t="inlineStr">
        <is>
          <t>Verified from supplied original-card scan: Groups/INWO - Druids.png. Triangle orientation establishes IN=BOTTOM, OUT=TOP.</t>
        </is>
      </c>
    </row>
    <row r="59" ht="34" customHeight="1" s="16">
      <c r="A59" s="20" t="inlineStr">
        <is>
          <t>Eco-Guerrillas</t>
        </is>
      </c>
      <c r="B59" s="20" t="inlineStr">
        <is>
          <t>Group</t>
        </is>
      </c>
      <c r="C59" s="20" t="inlineStr">
        <is>
          <t>Organization</t>
        </is>
      </c>
      <c r="D59" s="20" t="inlineStr">
        <is>
          <t>Common</t>
        </is>
      </c>
      <c r="E59" s="20" t="inlineStr">
        <is>
          <t>1/1</t>
        </is>
      </c>
      <c r="F59" s="20" t="inlineStr">
        <is>
          <t>6</t>
        </is>
      </c>
      <c r="G59" s="20" t="inlineStr">
        <is>
          <t>Violent, Liberal</t>
        </is>
      </c>
      <c r="H59" s="20" t="inlineStr">
        <is>
          <t>Green</t>
        </is>
      </c>
      <c r="I59" s="20" t="inlineStr">
        <is>
          <t>+6 on direct destruction of Corporate groups; all your groups get +2 Resistance against attacks made or aided by Corporate groups.</t>
        </is>
      </c>
      <c r="J59" s="20" t="inlineStr">
        <is>
          <t>Needs rules-engine encoding</t>
        </is>
      </c>
      <c r="K59" s="20" t="inlineStr">
        <is>
          <t>High</t>
        </is>
      </c>
      <c r="L59" s="20" t="inlineStr">
        <is>
          <t>Mechanics and outgoing-arrow count checked against the printed card; described in our own words. Exact physical edge placement tracked separately.</t>
        </is>
      </c>
      <c r="M59" s="20" t="inlineStr">
        <is>
          <t>https://www.scribd.com/document/851089808/TheINWOBook</t>
        </is>
      </c>
      <c r="N59" t="inlineStr">
        <is>
          <t>Passive or activated special ability</t>
        </is>
      </c>
      <c r="O59" t="inlineStr">
        <is>
          <t>Per card ability</t>
        </is>
      </c>
      <c r="Q59" t="inlineStr">
        <is>
          <t>While controlled / per effect</t>
        </is>
      </c>
      <c r="R59" t="inlineStr">
        <is>
          <t>+6 on direct destruction of Corporate groups; all your groups get +2 Resistance against attacks made or aided by Corporate groups.</t>
        </is>
      </c>
      <c r="S59" t="inlineStr">
        <is>
          <t>NO</t>
        </is>
      </c>
      <c r="T59" t="inlineStr">
        <is>
          <t>1 incoming control arrow</t>
        </is>
      </c>
      <c r="U59" t="n">
        <v>0</v>
      </c>
      <c r="V59" t="inlineStr">
        <is>
          <t>N/A — INWO uses Plots instead of group income/money</t>
        </is>
      </c>
      <c r="W59" t="inlineStr">
        <is>
          <t>Standard: 1 action token (Illuminati: 1 Illuminati action); verified mechanics state no override</t>
        </is>
      </c>
      <c r="X59" t="inlineStr">
        <is>
          <t>One copy in play at a time; spare copies act as hidden agents vs. a rival's copy; a destroyed Group cannot be replayed unless a card returns it (base rule)</t>
        </is>
      </c>
      <c r="Y59" t="inlineStr">
        <is>
          <t>None beyond base rules (verified mechanics state no override)</t>
        </is>
      </c>
      <c r="Z59" t="inlineStr">
        <is>
          <t>Standard response window (verified mechanics state no override)</t>
        </is>
      </c>
      <c r="AA59" t="inlineStr">
        <is>
          <t>Specific card overrides general rules</t>
        </is>
      </c>
      <c r="AB59" t="inlineStr">
        <is>
          <t>Indexed INWO Book, Groups section</t>
        </is>
      </c>
      <c r="AC59" t="inlineStr">
        <is>
          <t>FUNCTIONALLY COMPLETE</t>
        </is>
      </c>
      <c r="AE59" t="inlineStr">
        <is>
          <t>Indexed INWO Book / historical cross-check</t>
        </is>
      </c>
      <c r="AF59" t="inlineStr">
        <is>
          <t>EXACT EDGE POSITIONS VERIFIED</t>
        </is>
      </c>
      <c r="AG59" t="inlineStr">
        <is>
          <t>Verified from supplied original-card scan: Groups/INWO - Eco-Guerillas.png. Triangle orientation establishes IN=TOP, OUT=NONE.</t>
        </is>
      </c>
      <c r="AH59" t="inlineStr">
        <is>
          <t>TOP</t>
        </is>
      </c>
      <c r="AI59" t="inlineStr">
        <is>
          <t>NONE</t>
        </is>
      </c>
      <c r="AJ59" t="inlineStr">
        <is>
          <t>VERIFIED</t>
        </is>
      </c>
      <c r="AK59" t="inlineStr">
        <is>
          <t>Verified from supplied original-card scan: Groups/INWO - Eco-Guerillas.png. Triangle orientation establishes IN=TOP, OUT=NONE.</t>
        </is>
      </c>
    </row>
    <row r="60" ht="34" customHeight="1" s="16">
      <c r="A60" s="20" t="inlineStr">
        <is>
          <t>EFF</t>
        </is>
      </c>
      <c r="B60" s="20" t="inlineStr">
        <is>
          <t>Group</t>
        </is>
      </c>
      <c r="C60" s="20" t="inlineStr">
        <is>
          <t>Organization</t>
        </is>
      </c>
      <c r="D60" s="20" t="inlineStr">
        <is>
          <t>Rare</t>
        </is>
      </c>
      <c r="E60" s="20" t="inlineStr">
        <is>
          <t>2/1</t>
        </is>
      </c>
      <c r="F60" s="20" t="inlineStr">
        <is>
          <t>3</t>
        </is>
      </c>
      <c r="G60" s="20" t="inlineStr">
        <is>
          <t>Liberal</t>
        </is>
      </c>
      <c r="H60" s="20" t="inlineStr">
        <is>
          <t>Computer</t>
        </is>
      </c>
      <c r="I60" s="20" t="inlineStr">
        <is>
          <t>+4 to direct control of Computer groups; when helping defend a Computer group, doubles the total Power spent by defending groups.</t>
        </is>
      </c>
      <c r="J60" s="20" t="inlineStr">
        <is>
          <t>Needs rules-engine encoding</t>
        </is>
      </c>
      <c r="K60" s="20" t="inlineStr">
        <is>
          <t>High</t>
        </is>
      </c>
      <c r="L60" s="20" t="inlineStr">
        <is>
          <t>Mechanics and outgoing-arrow count checked against the printed card; described in our own words. Exact physical edge placement tracked separately.</t>
        </is>
      </c>
      <c r="M60" s="20" t="inlineStr">
        <is>
          <t>https://www.scribd.com/document/851089808/TheINWOBook</t>
        </is>
      </c>
      <c r="N60" t="inlineStr">
        <is>
          <t>Passive or activated special ability</t>
        </is>
      </c>
      <c r="O60" t="inlineStr">
        <is>
          <t>Per card ability</t>
        </is>
      </c>
      <c r="Q60" t="inlineStr">
        <is>
          <t>While controlled / per effect</t>
        </is>
      </c>
      <c r="R60" t="inlineStr">
        <is>
          <t>+4 to direct control of Computer groups; when helping defend a Computer group, doubles the total Power spent by defending groups.</t>
        </is>
      </c>
      <c r="S60" t="inlineStr">
        <is>
          <t>NO</t>
        </is>
      </c>
      <c r="T60" t="inlineStr">
        <is>
          <t>1 incoming control arrow</t>
        </is>
      </c>
      <c r="U60" t="n">
        <v>1</v>
      </c>
      <c r="V60" t="inlineStr">
        <is>
          <t>N/A — INWO uses Plots instead of group income/money</t>
        </is>
      </c>
      <c r="W60" t="inlineStr">
        <is>
          <t>Standard: 1 action token (Illuminati: 1 Illuminati action); verified mechanics state no override</t>
        </is>
      </c>
      <c r="X60" t="inlineStr">
        <is>
          <t>One copy in play at a time; spare copies act as hidden agents vs. a rival's copy; a destroyed Group cannot be replayed unless a card returns it (base rule)</t>
        </is>
      </c>
      <c r="Y60" t="inlineStr">
        <is>
          <t>None beyond base rules (verified mechanics state no override)</t>
        </is>
      </c>
      <c r="Z60" t="inlineStr">
        <is>
          <t>Standard response window (verified mechanics state no override)</t>
        </is>
      </c>
      <c r="AA60" t="inlineStr">
        <is>
          <t>Specific card overrides general rules</t>
        </is>
      </c>
      <c r="AB60" t="inlineStr">
        <is>
          <t>Indexed INWO Book, Groups section</t>
        </is>
      </c>
      <c r="AC60" t="inlineStr">
        <is>
          <t>FUNCTIONALLY COMPLETE</t>
        </is>
      </c>
      <c r="AE60" t="inlineStr">
        <is>
          <t>Indexed INWO Book / historical cross-check</t>
        </is>
      </c>
      <c r="AF60" t="inlineStr">
        <is>
          <t>EXACT EDGE POSITIONS VERIFIED</t>
        </is>
      </c>
      <c r="AG60" t="inlineStr">
        <is>
          <t>Verified from supplied original-card scan: Groups/INWO - EFF.png. Triangle orientation establishes IN=BOTTOM, OUT=TOP.</t>
        </is>
      </c>
      <c r="AH60" t="inlineStr">
        <is>
          <t>BOTTOM</t>
        </is>
      </c>
      <c r="AI60" t="inlineStr">
        <is>
          <t>TOP</t>
        </is>
      </c>
      <c r="AJ60" t="inlineStr">
        <is>
          <t>VERIFIED</t>
        </is>
      </c>
      <c r="AK60" t="inlineStr">
        <is>
          <t>Verified from supplied original-card scan: Groups/INWO - EFF.png. Triangle orientation establishes IN=BOTTOM, OUT=TOP.</t>
        </is>
      </c>
    </row>
    <row r="61" ht="34" customHeight="1" s="16">
      <c r="A61" s="20" t="inlineStr">
        <is>
          <t>Elders of Zion</t>
        </is>
      </c>
      <c r="B61" s="20" t="inlineStr">
        <is>
          <t>Group</t>
        </is>
      </c>
      <c r="C61" s="20" t="inlineStr">
        <is>
          <t>Organization</t>
        </is>
      </c>
      <c r="D61" s="20" t="inlineStr">
        <is>
          <t>Rare</t>
        </is>
      </c>
      <c r="E61" s="20" t="inlineStr">
        <is>
          <t>2</t>
        </is>
      </c>
      <c r="F61" s="20" t="inlineStr">
        <is>
          <t>7</t>
        </is>
      </c>
      <c r="G61" s="20" t="inlineStr">
        <is>
          <t>Fanatic</t>
        </is>
      </c>
      <c r="H61" s="20" t="inlineStr">
        <is>
          <t>Secret</t>
        </is>
      </c>
      <c r="I61" s="20" t="inlineStr">
        <is>
          <t>On your turn, spend their action plus an Illuminati action to reorganize your entire Power Structure in one step: your Groups move for free until you do anything other than move Groups.</t>
        </is>
      </c>
      <c r="J61" s="20" t="inlineStr">
        <is>
          <t>Needs rules-engine encoding</t>
        </is>
      </c>
      <c r="K61" s="20" t="inlineStr">
        <is>
          <t>High</t>
        </is>
      </c>
      <c r="L61" s="20" t="inlineStr">
        <is>
          <t>Mechanics and outgoing-arrow count checked against the printed card; described in our own words. Exact physical edge placement tracked separately.</t>
        </is>
      </c>
      <c r="M61" s="20" t="inlineStr">
        <is>
          <t>https://www.scribd.com/document/851089808/TheINWOBook</t>
        </is>
      </c>
      <c r="N61" t="inlineStr">
        <is>
          <t>Passive or activated special ability</t>
        </is>
      </c>
      <c r="O61" t="inlineStr">
        <is>
          <t>Per card ability</t>
        </is>
      </c>
      <c r="Q61" t="inlineStr">
        <is>
          <t>While controlled / per effect</t>
        </is>
      </c>
      <c r="R61" t="inlineStr">
        <is>
          <t>On your turn, spend their action plus an Illuminati action to reorganize your entire Power Structure.</t>
        </is>
      </c>
      <c r="S61" t="inlineStr">
        <is>
          <t>NO</t>
        </is>
      </c>
      <c r="T61" t="inlineStr">
        <is>
          <t>1 incoming control arrow</t>
        </is>
      </c>
      <c r="U61" t="n">
        <v>2</v>
      </c>
      <c r="V61" t="inlineStr">
        <is>
          <t>N/A — INWO uses Plots instead of group income/money</t>
        </is>
      </c>
      <c r="W61" t="inlineStr">
        <is>
          <t>Standard: 1 action token (Illuminati: 1 Illuminati action); verified mechanics state no override</t>
        </is>
      </c>
      <c r="X61" t="inlineStr">
        <is>
          <t>One copy in play at a time; spare copies act as hidden agents vs. a rival's copy; a destroyed Group cannot be replayed unless a card returns it (base rule)</t>
        </is>
      </c>
      <c r="Y61" t="inlineStr">
        <is>
          <t>None beyond base rules (verified mechanics state no override)</t>
        </is>
      </c>
      <c r="Z61" t="inlineStr">
        <is>
          <t>Standard response window (verified mechanics state no override)</t>
        </is>
      </c>
      <c r="AA61" t="inlineStr">
        <is>
          <t>Specific card overrides general rules</t>
        </is>
      </c>
      <c r="AB61" t="inlineStr">
        <is>
          <t>Indexed INWO Book, Groups section</t>
        </is>
      </c>
      <c r="AC61" t="inlineStr">
        <is>
          <t>FUNCTIONALLY COMPLETE</t>
        </is>
      </c>
      <c r="AE61" t="inlineStr">
        <is>
          <t>Indexed INWO Book / historical cross-check</t>
        </is>
      </c>
      <c r="AF61" t="inlineStr">
        <is>
          <t>EXACT EDGE POSITIONS VERIFIED</t>
        </is>
      </c>
      <c r="AG61" t="inlineStr">
        <is>
          <t>Verified from supplied original-card scan: Groups/INWO - Elders of Zion.png. Triangle orientation establishes IN=BOTTOM, OUT=TOP, LEFT.</t>
        </is>
      </c>
      <c r="AH61" t="inlineStr">
        <is>
          <t>BOTTOM</t>
        </is>
      </c>
      <c r="AI61" t="inlineStr">
        <is>
          <t>TOP, LEFT</t>
        </is>
      </c>
      <c r="AJ61" t="inlineStr">
        <is>
          <t>VERIFIED</t>
        </is>
      </c>
      <c r="AK61" t="inlineStr">
        <is>
          <t>Verified from supplied original-card scan: Groups/INWO - Elders of Zion.png. Triangle orientation establishes IN=BOTTOM, OUT=TOP, LEFT.</t>
        </is>
      </c>
    </row>
    <row r="62" ht="34" customHeight="1" s="16">
      <c r="A62" s="20" t="inlineStr">
        <is>
          <t>Empty Vee</t>
        </is>
      </c>
      <c r="B62" s="20" t="inlineStr">
        <is>
          <t>Group</t>
        </is>
      </c>
      <c r="C62" s="20" t="inlineStr">
        <is>
          <t>Organization</t>
        </is>
      </c>
      <c r="D62" s="20" t="inlineStr">
        <is>
          <t>Common</t>
        </is>
      </c>
      <c r="E62" s="20" t="inlineStr">
        <is>
          <t>3/2</t>
        </is>
      </c>
      <c r="F62" s="20" t="inlineStr">
        <is>
          <t>3</t>
        </is>
      </c>
      <c r="G62" s="20" t="inlineStr">
        <is>
          <t>None</t>
        </is>
      </c>
      <c r="H62" s="20" t="inlineStr">
        <is>
          <t>Media</t>
        </is>
      </c>
      <c r="I62" s="20" t="inlineStr">
        <is>
          <t>Straight groups cannot attack the Media groups in your Power Structure. Personalities you control get +1 Power each.</t>
        </is>
      </c>
      <c r="J62" s="20" t="inlineStr">
        <is>
          <t>Needs rules-engine encoding</t>
        </is>
      </c>
      <c r="K62" s="20" t="inlineStr">
        <is>
          <t>High</t>
        </is>
      </c>
      <c r="L62" s="20" t="inlineStr">
        <is>
          <t>Mechanics and outgoing-arrow count checked against the printed card; described in our own words. Exact physical edge placement tracked separately.</t>
        </is>
      </c>
      <c r="M62" s="20" t="inlineStr">
        <is>
          <t>https://www.scribd.com/document/851089808/TheINWOBook</t>
        </is>
      </c>
      <c r="N62" t="inlineStr">
        <is>
          <t>Passive or activated special ability</t>
        </is>
      </c>
      <c r="O62" t="inlineStr">
        <is>
          <t>Per card ability</t>
        </is>
      </c>
      <c r="Q62" t="inlineStr">
        <is>
          <t>While controlled / per effect</t>
        </is>
      </c>
      <c r="R62" t="inlineStr">
        <is>
          <t>Straight groups cannot attack the Media groups in your Power Structure. Personalities you control get +1 Power each.</t>
        </is>
      </c>
      <c r="S62" t="inlineStr">
        <is>
          <t>NO</t>
        </is>
      </c>
      <c r="T62" t="inlineStr">
        <is>
          <t>1 incoming control arrow</t>
        </is>
      </c>
      <c r="U62" t="n">
        <v>2</v>
      </c>
      <c r="V62" t="inlineStr">
        <is>
          <t>N/A — INWO uses Plots instead of group income/money</t>
        </is>
      </c>
      <c r="W62" t="inlineStr">
        <is>
          <t>Standard: 1 action token (Illuminati: 1 Illuminati action); verified mechanics state no override</t>
        </is>
      </c>
      <c r="X62" t="inlineStr">
        <is>
          <t>One copy in play at a time; spare copies act as hidden agents vs. a rival's copy; a destroyed Group cannot be replayed unless a card returns it (base rule)</t>
        </is>
      </c>
      <c r="Y62" t="inlineStr">
        <is>
          <t>None beyond base rules (verified mechanics state no override)</t>
        </is>
      </c>
      <c r="Z62" t="inlineStr">
        <is>
          <t>Standard response window (verified mechanics state no override)</t>
        </is>
      </c>
      <c r="AA62" t="inlineStr">
        <is>
          <t>Specific card overrides general rules</t>
        </is>
      </c>
      <c r="AB62" t="inlineStr">
        <is>
          <t>Indexed INWO Book, Groups section</t>
        </is>
      </c>
      <c r="AC62" t="inlineStr">
        <is>
          <t>FUNCTIONALLY COMPLETE</t>
        </is>
      </c>
      <c r="AE62" t="inlineStr">
        <is>
          <t>Indexed INWO Book / historical cross-check</t>
        </is>
      </c>
      <c r="AF62" t="inlineStr">
        <is>
          <t>EXACT EDGE POSITIONS VERIFIED</t>
        </is>
      </c>
      <c r="AG62" t="inlineStr">
        <is>
          <t>Verified from supplied original-card scan: Groups/INWO - Empty Vee.png. Triangle orientation establishes IN=BOTTOM, OUT=TOP, RIGHT.</t>
        </is>
      </c>
      <c r="AH62" t="inlineStr">
        <is>
          <t>BOTTOM</t>
        </is>
      </c>
      <c r="AI62" t="inlineStr">
        <is>
          <t>TOP, RIGHT</t>
        </is>
      </c>
      <c r="AJ62" t="inlineStr">
        <is>
          <t>VERIFIED</t>
        </is>
      </c>
      <c r="AK62" t="inlineStr">
        <is>
          <t>Verified from supplied original-card scan: Groups/INWO - Empty Vee.png. Triangle orientation establishes IN=BOTTOM, OUT=TOP, RIGHT.</t>
        </is>
      </c>
    </row>
    <row r="63" ht="34" customHeight="1" s="16">
      <c r="A63" s="20" t="inlineStr">
        <is>
          <t>Evil Geniuses for a Better Tomorrow</t>
        </is>
      </c>
      <c r="B63" s="20" t="inlineStr">
        <is>
          <t>Group</t>
        </is>
      </c>
      <c r="C63" s="20" t="inlineStr">
        <is>
          <t>Organization</t>
        </is>
      </c>
      <c r="D63" s="20" t="inlineStr">
        <is>
          <t>Rare</t>
        </is>
      </c>
      <c r="E63" s="20" t="inlineStr">
        <is>
          <t>2/2</t>
        </is>
      </c>
      <c r="F63" s="20" t="inlineStr">
        <is>
          <t>6</t>
        </is>
      </c>
      <c r="G63" s="20" t="inlineStr">
        <is>
          <t>Violent, Weird</t>
        </is>
      </c>
      <c r="H63" s="20" t="inlineStr">
        <is>
          <t>Science</t>
        </is>
      </c>
      <c r="I63" s="20" t="inlineStr">
        <is>
          <t>As an action, automatically take over a Gadget from your hand and link it here; linked Resources cannot be unlinked and are lost/captured with the group.</t>
        </is>
      </c>
      <c r="J63" s="20" t="inlineStr">
        <is>
          <t>Needs rules-engine encoding</t>
        </is>
      </c>
      <c r="K63" s="20" t="inlineStr">
        <is>
          <t>High</t>
        </is>
      </c>
      <c r="L63" s="20" t="inlineStr">
        <is>
          <t>Mechanics and outgoing-arrow count checked against the printed card; described in our own words. Exact physical edge placement tracked separately.</t>
        </is>
      </c>
      <c r="M63" s="20" t="inlineStr">
        <is>
          <t>https://www.scribd.com/document/851089808/TheINWOBook</t>
        </is>
      </c>
      <c r="N63" t="inlineStr">
        <is>
          <t>Passive or activated special ability</t>
        </is>
      </c>
      <c r="O63" t="inlineStr">
        <is>
          <t>Per card ability</t>
        </is>
      </c>
      <c r="Q63" t="inlineStr">
        <is>
          <t>While controlled / per effect</t>
        </is>
      </c>
      <c r="R63" t="inlineStr">
        <is>
          <t>As an action, automatically take over a Gadget from your hand and link it here; linked Resources cannot be unlinked and are lost/captured with the group.</t>
        </is>
      </c>
      <c r="S63" t="inlineStr">
        <is>
          <t>NO</t>
        </is>
      </c>
      <c r="T63" t="inlineStr">
        <is>
          <t>1 incoming control arrow</t>
        </is>
      </c>
      <c r="U63" t="n">
        <v>0</v>
      </c>
      <c r="V63" t="inlineStr">
        <is>
          <t>N/A — INWO uses Plots instead of group income/money</t>
        </is>
      </c>
      <c r="W63" t="inlineStr">
        <is>
          <t>Standard: 1 action token (Illuminati: 1 Illuminati action); verified mechanics state no override</t>
        </is>
      </c>
      <c r="X63" t="inlineStr">
        <is>
          <t>One copy in play at a time; spare copies act as hidden agents vs. a rival's copy; a destroyed Group cannot be replayed unless a card returns it (base rule)</t>
        </is>
      </c>
      <c r="Y63" t="inlineStr">
        <is>
          <t>None beyond base rules (verified mechanics state no override)</t>
        </is>
      </c>
      <c r="Z63" t="inlineStr">
        <is>
          <t>Standard response window (verified mechanics state no override)</t>
        </is>
      </c>
      <c r="AA63" t="inlineStr">
        <is>
          <t>Specific card overrides general rules</t>
        </is>
      </c>
      <c r="AB63" t="inlineStr">
        <is>
          <t>Indexed INWO Book, Groups section</t>
        </is>
      </c>
      <c r="AC63" t="inlineStr">
        <is>
          <t>FUNCTIONALLY COMPLETE</t>
        </is>
      </c>
      <c r="AE63" t="inlineStr">
        <is>
          <t>Indexed INWO Book / historical cross-check</t>
        </is>
      </c>
      <c r="AF63" t="inlineStr">
        <is>
          <t>EXACT EDGE POSITIONS VERIFIED</t>
        </is>
      </c>
      <c r="AG63" t="inlineStr">
        <is>
          <t>Verified from supplied original-card scan: Groups/INWO - Evil Geniuses for a Better Tomorrow.png. Triangle orientation establishes IN=TOP, OUT=NONE.</t>
        </is>
      </c>
      <c r="AH63" t="inlineStr">
        <is>
          <t>TOP</t>
        </is>
      </c>
      <c r="AI63" t="inlineStr">
        <is>
          <t>NONE</t>
        </is>
      </c>
      <c r="AJ63" t="inlineStr">
        <is>
          <t>VERIFIED</t>
        </is>
      </c>
      <c r="AK63" t="inlineStr">
        <is>
          <t>Verified from supplied original-card scan: Groups/INWO - Evil Geniuses for a Better Tomorrow.png. Triangle orientation establishes IN=TOP, OUT=NONE.</t>
        </is>
      </c>
    </row>
    <row r="64" ht="34" customHeight="1" s="16">
      <c r="A64" s="20" t="inlineStr">
        <is>
          <t>Fast Food Chains</t>
        </is>
      </c>
      <c r="B64" s="20" t="inlineStr">
        <is>
          <t>Group</t>
        </is>
      </c>
      <c r="C64" s="20" t="inlineStr">
        <is>
          <t>Organization</t>
        </is>
      </c>
      <c r="D64" s="20" t="inlineStr">
        <is>
          <t>Common</t>
        </is>
      </c>
      <c r="E64" s="20" t="inlineStr">
        <is>
          <t>2</t>
        </is>
      </c>
      <c r="F64" s="20" t="inlineStr">
        <is>
          <t>4</t>
        </is>
      </c>
      <c r="G64" s="20" t="inlineStr">
        <is>
          <t>Straight, Corporate</t>
        </is>
      </c>
      <c r="H64" s="20" t="str"/>
      <c r="I64" s="20" t="inlineStr">
        <is>
          <t>+6 on any destruction attempt against a Green group; on your turn may hide two exposed Plots for free.</t>
        </is>
      </c>
      <c r="J64" s="20" t="inlineStr">
        <is>
          <t>Needs rules-engine encoding</t>
        </is>
      </c>
      <c r="K64" s="20" t="inlineStr">
        <is>
          <t>High</t>
        </is>
      </c>
      <c r="L64" s="20" t="inlineStr">
        <is>
          <t>Mechanics and outgoing-arrow count checked against the printed card; described in our own words. Exact physical edge placement tracked separately.</t>
        </is>
      </c>
      <c r="M64" s="20" t="inlineStr">
        <is>
          <t>https://www.scribd.com/document/851089808/TheINWOBook</t>
        </is>
      </c>
      <c r="N64" t="inlineStr">
        <is>
          <t>Passive or activated special ability</t>
        </is>
      </c>
      <c r="O64" t="inlineStr">
        <is>
          <t>Per card ability</t>
        </is>
      </c>
      <c r="Q64" t="inlineStr">
        <is>
          <t>While controlled / per effect</t>
        </is>
      </c>
      <c r="R64" t="inlineStr">
        <is>
          <t>+6 on any destruction attempt against a Green group; on your turn may hide two exposed Plots for free.</t>
        </is>
      </c>
      <c r="S64" t="inlineStr">
        <is>
          <t>NO</t>
        </is>
      </c>
      <c r="T64" t="inlineStr">
        <is>
          <t>1 incoming control arrow</t>
        </is>
      </c>
      <c r="U64" t="n">
        <v>1</v>
      </c>
      <c r="V64" t="inlineStr">
        <is>
          <t>N/A — INWO uses Plots instead of group income/money</t>
        </is>
      </c>
      <c r="W64" t="inlineStr">
        <is>
          <t>Standard: 1 action token (Illuminati: 1 Illuminati action); verified mechanics state no override</t>
        </is>
      </c>
      <c r="X64" t="inlineStr">
        <is>
          <t>One copy in play at a time; spare copies act as hidden agents vs. a rival's copy; a destroyed Group cannot be replayed unless a card returns it (base rule)</t>
        </is>
      </c>
      <c r="Y64" t="inlineStr">
        <is>
          <t>None beyond base rules (verified mechanics state no override)</t>
        </is>
      </c>
      <c r="Z64" t="inlineStr">
        <is>
          <t>Standard response window (verified mechanics state no override)</t>
        </is>
      </c>
      <c r="AA64" t="inlineStr">
        <is>
          <t>Specific card overrides general rules</t>
        </is>
      </c>
      <c r="AB64" t="inlineStr">
        <is>
          <t>Indexed INWO Book, Groups section</t>
        </is>
      </c>
      <c r="AC64" t="inlineStr">
        <is>
          <t>FUNCTIONALLY COMPLETE</t>
        </is>
      </c>
      <c r="AE64" t="inlineStr">
        <is>
          <t>Indexed INWO Book / historical cross-check</t>
        </is>
      </c>
      <c r="AF64" t="inlineStr">
        <is>
          <t>EXACT EDGE POSITIONS VERIFIED</t>
        </is>
      </c>
      <c r="AG64" t="inlineStr">
        <is>
          <t>Verified from supplied original-card scan: Groups/INWO - Fast Food Chains.png. Triangle orientation establishes IN=TOP, OUT=RIGHT.</t>
        </is>
      </c>
      <c r="AH64" t="inlineStr">
        <is>
          <t>TOP</t>
        </is>
      </c>
      <c r="AI64" t="inlineStr">
        <is>
          <t>RIGHT</t>
        </is>
      </c>
      <c r="AJ64" t="inlineStr">
        <is>
          <t>VERIFIED</t>
        </is>
      </c>
      <c r="AK64" t="inlineStr">
        <is>
          <t>Verified from supplied original-card scan: Groups/INWO - Fast Food Chains.png. Triangle orientation establishes IN=TOP, OUT=RIGHT.</t>
        </is>
      </c>
    </row>
    <row r="65" ht="34" customHeight="1" s="16">
      <c r="A65" s="20" t="inlineStr">
        <is>
          <t>FBI</t>
        </is>
      </c>
      <c r="B65" s="20" t="inlineStr">
        <is>
          <t>Group</t>
        </is>
      </c>
      <c r="C65" s="20" t="inlineStr">
        <is>
          <t>Organization</t>
        </is>
      </c>
      <c r="D65" s="20" t="inlineStr">
        <is>
          <t>Common</t>
        </is>
      </c>
      <c r="E65" s="20" t="inlineStr">
        <is>
          <t>4/2</t>
        </is>
      </c>
      <c r="F65" s="20" t="inlineStr">
        <is>
          <t>6</t>
        </is>
      </c>
      <c r="G65" s="20" t="inlineStr">
        <is>
          <t>Straight, Government</t>
        </is>
      </c>
      <c r="H65" s="20" t="inlineStr">
        <is>
          <t>Science</t>
        </is>
      </c>
      <c r="I65" s="20" t="inlineStr">
        <is>
          <t>+4 on any destruction attempt against a Criminal group, raised to +10 when the FBI makes the attack itself; +2 on any control attempt against a Criminal group.</t>
        </is>
      </c>
      <c r="J65" s="20" t="inlineStr">
        <is>
          <t>Needs rules-engine encoding</t>
        </is>
      </c>
      <c r="K65" s="20" t="inlineStr">
        <is>
          <t>High</t>
        </is>
      </c>
      <c r="L65" s="20" t="inlineStr">
        <is>
          <t>Mechanics and outgoing-arrow count checked against the printed card; described in our own words. Exact physical edge placement tracked separately.</t>
        </is>
      </c>
      <c r="M65" s="20" t="inlineStr">
        <is>
          <t>https://www.scribd.com/document/851089808/TheINWOBook</t>
        </is>
      </c>
      <c r="N65" t="inlineStr">
        <is>
          <t>Passive or activated special ability</t>
        </is>
      </c>
      <c r="O65" t="inlineStr">
        <is>
          <t>Per card ability</t>
        </is>
      </c>
      <c r="Q65" t="inlineStr">
        <is>
          <t>While controlled / per effect</t>
        </is>
      </c>
      <c r="R65" t="inlineStr">
        <is>
          <t>+4 on any destruction attempt against a Criminal group, raised to +10 when the FBI makes the attack itself; +2 on any control attempt against a Criminal group.</t>
        </is>
      </c>
      <c r="S65" t="inlineStr">
        <is>
          <t>NO</t>
        </is>
      </c>
      <c r="T65" t="inlineStr">
        <is>
          <t>1 incoming control arrow</t>
        </is>
      </c>
      <c r="U65" t="n">
        <v>2</v>
      </c>
      <c r="V65" t="inlineStr">
        <is>
          <t>N/A — INWO uses Plots instead of group income/money</t>
        </is>
      </c>
      <c r="W65" t="inlineStr">
        <is>
          <t>Standard: 1 action token (Illuminati: 1 Illuminati action); verified mechanics state no override</t>
        </is>
      </c>
      <c r="X65" t="inlineStr">
        <is>
          <t>One copy in play at a time; spare copies act as hidden agents vs. a rival's copy; a destroyed Group cannot be replayed unless a card returns it (base rule)</t>
        </is>
      </c>
      <c r="Y65" t="inlineStr">
        <is>
          <t>None beyond base rules (verified mechanics state no override)</t>
        </is>
      </c>
      <c r="Z65" t="inlineStr">
        <is>
          <t>Standard response window (verified mechanics state no override)</t>
        </is>
      </c>
      <c r="AA65" t="inlineStr">
        <is>
          <t>Specific card overrides general rules</t>
        </is>
      </c>
      <c r="AB65" t="inlineStr">
        <is>
          <t>Indexed INWO Book, Groups section</t>
        </is>
      </c>
      <c r="AC65" t="inlineStr">
        <is>
          <t>FUNCTIONALLY COMPLETE</t>
        </is>
      </c>
      <c r="AE65" t="inlineStr">
        <is>
          <t>Indexed INWO Book / historical cross-check</t>
        </is>
      </c>
      <c r="AF65" t="inlineStr">
        <is>
          <t>EXACT EDGE POSITIONS VERIFIED</t>
        </is>
      </c>
      <c r="AG65" t="inlineStr">
        <is>
          <t>Verified from supplied original-card scan: Groups/INWO - F.B.I..png. Triangle orientation establishes IN=TOP, OUT=LEFT, RIGHT.</t>
        </is>
      </c>
      <c r="AH65" t="inlineStr">
        <is>
          <t>TOP</t>
        </is>
      </c>
      <c r="AI65" t="inlineStr">
        <is>
          <t>LEFT, RIGHT</t>
        </is>
      </c>
      <c r="AJ65" t="inlineStr">
        <is>
          <t>VERIFIED</t>
        </is>
      </c>
      <c r="AK65" t="inlineStr">
        <is>
          <t>Verified from supplied original-card scan: Groups/INWO - F.B.I..png. Triangle orientation establishes IN=TOP, OUT=LEFT, RIGHT.</t>
        </is>
      </c>
    </row>
    <row r="66" ht="34" customHeight="1" s="16">
      <c r="A66" s="20" t="inlineStr">
        <is>
          <t>Federal Reserve</t>
        </is>
      </c>
      <c r="B66" s="20" t="inlineStr">
        <is>
          <t>Group</t>
        </is>
      </c>
      <c r="C66" s="20" t="inlineStr">
        <is>
          <t>Organization</t>
        </is>
      </c>
      <c r="D66" s="20" t="inlineStr">
        <is>
          <t>Uncommon</t>
        </is>
      </c>
      <c r="E66" s="20" t="inlineStr">
        <is>
          <t>5/3</t>
        </is>
      </c>
      <c r="F66" s="20" t="inlineStr">
        <is>
          <t>7</t>
        </is>
      </c>
      <c r="G66" s="20" t="inlineStr">
        <is>
          <t>Government</t>
        </is>
      </c>
      <c r="H66" s="20" t="inlineStr">
        <is>
          <t>Bank</t>
        </is>
      </c>
      <c r="I66" s="20" t="inlineStr">
        <is>
          <t>+6 on any attack against a Bank; +2 on any attack against a Nation or Corporate group.</t>
        </is>
      </c>
      <c r="J66" s="20" t="inlineStr">
        <is>
          <t>Needs rules-engine encoding</t>
        </is>
      </c>
      <c r="K66" s="20" t="inlineStr">
        <is>
          <t>High</t>
        </is>
      </c>
      <c r="L66" s="20" t="inlineStr">
        <is>
          <t>Mechanics and outgoing-arrow count checked against the printed card; described in our own words. Exact physical edge placement tracked separately.</t>
        </is>
      </c>
      <c r="M66" s="20" t="inlineStr">
        <is>
          <t>https://www.scribd.com/document/851089808/TheINWOBook</t>
        </is>
      </c>
      <c r="N66" t="inlineStr">
        <is>
          <t>Passive or activated special ability</t>
        </is>
      </c>
      <c r="O66" t="inlineStr">
        <is>
          <t>Per card ability</t>
        </is>
      </c>
      <c r="Q66" t="inlineStr">
        <is>
          <t>While controlled / per effect</t>
        </is>
      </c>
      <c r="R66" t="inlineStr">
        <is>
          <t>+6 on any attack against a Bank; +2 on any attack against a Nation or Corporate group.</t>
        </is>
      </c>
      <c r="S66" t="inlineStr">
        <is>
          <t>NO</t>
        </is>
      </c>
      <c r="T66" t="inlineStr">
        <is>
          <t>1 incoming control arrow</t>
        </is>
      </c>
      <c r="U66" t="n">
        <v>2</v>
      </c>
      <c r="V66" t="inlineStr">
        <is>
          <t>N/A — INWO uses Plots instead of group income/money</t>
        </is>
      </c>
      <c r="W66" t="inlineStr">
        <is>
          <t>Standard: 1 action token (Illuminati: 1 Illuminati action); verified mechanics state no override</t>
        </is>
      </c>
      <c r="X66" t="inlineStr">
        <is>
          <t>One copy in play at a time; spare copies act as hidden agents vs. a rival's copy; a destroyed Group cannot be replayed unless a card returns it (base rule)</t>
        </is>
      </c>
      <c r="Y66" t="inlineStr">
        <is>
          <t>None beyond base rules (verified mechanics state no override)</t>
        </is>
      </c>
      <c r="Z66" t="inlineStr">
        <is>
          <t>Standard response window (verified mechanics state no override)</t>
        </is>
      </c>
      <c r="AA66" t="inlineStr">
        <is>
          <t>Specific card overrides general rules</t>
        </is>
      </c>
      <c r="AB66" t="inlineStr">
        <is>
          <t>Indexed INWO Book, Groups section</t>
        </is>
      </c>
      <c r="AC66" t="inlineStr">
        <is>
          <t>FUNCTIONALLY COMPLETE</t>
        </is>
      </c>
      <c r="AE66" t="inlineStr">
        <is>
          <t>Indexed INWO Book / historical cross-check</t>
        </is>
      </c>
      <c r="AF66" t="inlineStr">
        <is>
          <t>EXACT EDGE POSITIONS VERIFIED</t>
        </is>
      </c>
      <c r="AG66" t="inlineStr">
        <is>
          <t>Verified from supplied original-card scan: Groups/INWO - Federal Reserve.png. Triangle orientation establishes IN=TOP, OUT=BOTTOM, LEFT.</t>
        </is>
      </c>
      <c r="AH66" t="inlineStr">
        <is>
          <t>TOP</t>
        </is>
      </c>
      <c r="AI66" t="inlineStr">
        <is>
          <t>BOTTOM, LEFT</t>
        </is>
      </c>
      <c r="AJ66" t="inlineStr">
        <is>
          <t>VERIFIED</t>
        </is>
      </c>
      <c r="AK66" t="inlineStr">
        <is>
          <t>Verified from supplied original-card scan: Groups/INWO - Federal Reserve.png. Triangle orientation establishes IN=TOP, OUT=BOTTOM, LEFT.</t>
        </is>
      </c>
    </row>
    <row r="67" ht="34" customHeight="1" s="16">
      <c r="A67" s="20" t="inlineStr">
        <is>
          <t>Feminists</t>
        </is>
      </c>
      <c r="B67" s="20" t="inlineStr">
        <is>
          <t>Group</t>
        </is>
      </c>
      <c r="C67" s="20" t="inlineStr">
        <is>
          <t>Organization</t>
        </is>
      </c>
      <c r="D67" s="20" t="inlineStr">
        <is>
          <t>Uncommon</t>
        </is>
      </c>
      <c r="E67" s="20" t="inlineStr">
        <is>
          <t>2</t>
        </is>
      </c>
      <c r="F67" s="20" t="inlineStr">
        <is>
          <t>2</t>
        </is>
      </c>
      <c r="G67" s="20" t="inlineStr">
        <is>
          <t>Liberal</t>
        </is>
      </c>
      <c r="H67" s="20" t="str"/>
      <c r="I67" s="20" t="inlineStr">
        <is>
          <t>+3 on any control attempt against a Liberal group and on any destruction attempt against a Conservative one; as an action randomly draw a rival Group card, keeping it only if Liberal.</t>
        </is>
      </c>
      <c r="J67" s="20" t="inlineStr">
        <is>
          <t>Needs rules-engine encoding</t>
        </is>
      </c>
      <c r="K67" s="20" t="inlineStr">
        <is>
          <t>High</t>
        </is>
      </c>
      <c r="L67" s="20" t="inlineStr">
        <is>
          <t>Mechanics and outgoing-arrow count checked against the printed card; described in our own words. Exact physical edge placement tracked separately.</t>
        </is>
      </c>
      <c r="M67" s="20" t="inlineStr">
        <is>
          <t>https://www.scribd.com/document/851089808/TheINWOBook</t>
        </is>
      </c>
      <c r="N67" t="inlineStr">
        <is>
          <t>Passive or activated special ability</t>
        </is>
      </c>
      <c r="O67" t="inlineStr">
        <is>
          <t>Per card ability</t>
        </is>
      </c>
      <c r="Q67" t="inlineStr">
        <is>
          <t>While controlled / per effect</t>
        </is>
      </c>
      <c r="R67" t="inlineStr">
        <is>
          <t>+3 on any control attempt against a Liberal group and on any destruction attempt against a Conservative one; as an action randomly draw a rival Group card, keeping it only if Liberal.</t>
        </is>
      </c>
      <c r="S67" t="inlineStr">
        <is>
          <t>NO</t>
        </is>
      </c>
      <c r="T67" t="inlineStr">
        <is>
          <t>1 incoming control arrow</t>
        </is>
      </c>
      <c r="U67" t="n">
        <v>1</v>
      </c>
      <c r="V67" t="inlineStr">
        <is>
          <t>N/A — INWO uses Plots instead of group income/money</t>
        </is>
      </c>
      <c r="W67" t="inlineStr">
        <is>
          <t>Standard: 1 action token (Illuminati: 1 Illuminati action); verified mechanics state no override</t>
        </is>
      </c>
      <c r="X67" t="inlineStr">
        <is>
          <t>One copy in play at a time; spare copies act as hidden agents vs. a rival's copy; a destroyed Group cannot be replayed unless a card returns it (base rule)</t>
        </is>
      </c>
      <c r="Y67" t="inlineStr">
        <is>
          <t>None beyond base rules (verified mechanics state no override)</t>
        </is>
      </c>
      <c r="Z67" t="inlineStr">
        <is>
          <t>Standard response window (verified mechanics state no override)</t>
        </is>
      </c>
      <c r="AA67" t="inlineStr">
        <is>
          <t>Specific card overrides general rules</t>
        </is>
      </c>
      <c r="AB67" t="inlineStr">
        <is>
          <t>Indexed INWO Book, Groups section</t>
        </is>
      </c>
      <c r="AC67" t="inlineStr">
        <is>
          <t>FUNCTIONALLY COMPLETE</t>
        </is>
      </c>
      <c r="AE67" t="inlineStr">
        <is>
          <t>Indexed INWO Book / historical cross-check</t>
        </is>
      </c>
      <c r="AF67" t="inlineStr">
        <is>
          <t>EXACT EDGE POSITIONS VERIFIED</t>
        </is>
      </c>
      <c r="AG67" t="inlineStr">
        <is>
          <t>Verified from supplied original-card scan: Groups/INWO - Feminists.png. Triangle orientation establishes IN=TOP, OUT=BOTTOM.</t>
        </is>
      </c>
      <c r="AH67" t="inlineStr">
        <is>
          <t>TOP</t>
        </is>
      </c>
      <c r="AI67" t="inlineStr">
        <is>
          <t>BOTTOM</t>
        </is>
      </c>
      <c r="AJ67" t="inlineStr">
        <is>
          <t>VERIFIED</t>
        </is>
      </c>
      <c r="AK67" t="inlineStr">
        <is>
          <t>Verified from supplied original-card scan: Groups/INWO - Feminists.png. Triangle orientation establishes IN=TOP, OUT=BOTTOM.</t>
        </is>
      </c>
    </row>
    <row r="68" ht="34" customHeight="1" s="16">
      <c r="A68" s="20" t="inlineStr">
        <is>
          <t>Fiendish Fluoridators</t>
        </is>
      </c>
      <c r="B68" s="20" t="inlineStr">
        <is>
          <t>Group</t>
        </is>
      </c>
      <c r="C68" s="20" t="inlineStr">
        <is>
          <t>Organization</t>
        </is>
      </c>
      <c r="D68" s="20" t="inlineStr">
        <is>
          <t>Common</t>
        </is>
      </c>
      <c r="E68" s="20" t="inlineStr">
        <is>
          <t>3</t>
        </is>
      </c>
      <c r="F68" s="20" t="inlineStr">
        <is>
          <t>5</t>
        </is>
      </c>
      <c r="G68" s="20" t="inlineStr">
        <is>
          <t>Fanatic</t>
        </is>
      </c>
      <c r="H68" s="20" t="inlineStr">
        <is>
          <t>Secret, Science, Communist</t>
        </is>
      </c>
      <c r="I68" s="20" t="inlineStr">
        <is>
          <t>Your attacks to destroy get +5 against Straight or Conservative targets, and each such target you destroy earns you a Plot card.</t>
        </is>
      </c>
      <c r="J68" s="20" t="inlineStr">
        <is>
          <t>Needs rules-engine encoding</t>
        </is>
      </c>
      <c r="K68" s="20" t="inlineStr">
        <is>
          <t>High</t>
        </is>
      </c>
      <c r="L68" s="20" t="inlineStr">
        <is>
          <t>Mechanics and outgoing-arrow count checked against the printed card; described in our own words. Exact physical edge placement tracked separately.</t>
        </is>
      </c>
      <c r="M68" s="20" t="inlineStr">
        <is>
          <t>https://www.scribd.com/document/851089808/TheINWOBook</t>
        </is>
      </c>
      <c r="N68" t="inlineStr">
        <is>
          <t>Passive or activated special ability</t>
        </is>
      </c>
      <c r="O68" t="inlineStr">
        <is>
          <t>Per card ability</t>
        </is>
      </c>
      <c r="Q68" t="inlineStr">
        <is>
          <t>While controlled / per effect</t>
        </is>
      </c>
      <c r="R68" t="inlineStr">
        <is>
          <t>Your attacks to destroy get +5 against Straight or Conservative targets, and each such target you destroy earns you a Plot card.</t>
        </is>
      </c>
      <c r="S68" t="inlineStr">
        <is>
          <t>NO</t>
        </is>
      </c>
      <c r="T68" t="inlineStr">
        <is>
          <t>1 incoming control arrow</t>
        </is>
      </c>
      <c r="U68" t="n">
        <v>2</v>
      </c>
      <c r="V68" t="inlineStr">
        <is>
          <t>N/A — INWO uses Plots instead of group income/money</t>
        </is>
      </c>
      <c r="W68" t="inlineStr">
        <is>
          <t>Standard: 1 action token (Illuminati: 1 Illuminati action); verified mechanics state no override</t>
        </is>
      </c>
      <c r="X68" t="inlineStr">
        <is>
          <t>One copy in play at a time; spare copies act as hidden agents vs. a rival's copy; a destroyed Group cannot be replayed unless a card returns it (base rule)</t>
        </is>
      </c>
      <c r="Y68" t="inlineStr">
        <is>
          <t>None beyond base rules (verified mechanics state no override)</t>
        </is>
      </c>
      <c r="Z68" t="inlineStr">
        <is>
          <t>Standard response window (verified mechanics state no override)</t>
        </is>
      </c>
      <c r="AA68" t="inlineStr">
        <is>
          <t>Specific card overrides general rules</t>
        </is>
      </c>
      <c r="AB68" t="inlineStr">
        <is>
          <t>Indexed INWO Book, Groups section</t>
        </is>
      </c>
      <c r="AC68" t="inlineStr">
        <is>
          <t>FUNCTIONALLY COMPLETE</t>
        </is>
      </c>
      <c r="AE68" t="inlineStr">
        <is>
          <t>Indexed INWO Book / historical cross-check</t>
        </is>
      </c>
      <c r="AF68" t="inlineStr">
        <is>
          <t>EXACT EDGE POSITIONS VERIFIED</t>
        </is>
      </c>
      <c r="AG68" t="inlineStr">
        <is>
          <t>Verified from supplied original-card scan: Groups/INWO - Fiendish Fluoridators.png. Triangle orientation establishes IN=TOP, OUT=LEFT, RIGHT.</t>
        </is>
      </c>
      <c r="AH68" t="inlineStr">
        <is>
          <t>TOP</t>
        </is>
      </c>
      <c r="AI68" t="inlineStr">
        <is>
          <t>LEFT, RIGHT</t>
        </is>
      </c>
      <c r="AJ68" t="inlineStr">
        <is>
          <t>VERIFIED</t>
        </is>
      </c>
      <c r="AK68" t="inlineStr">
        <is>
          <t>Verified from supplied original-card scan: Groups/INWO - Fiendish Fluoridators.png. Triangle orientation establishes IN=TOP, OUT=LEFT, RIGHT.</t>
        </is>
      </c>
    </row>
    <row r="69" ht="34" customHeight="1" s="16">
      <c r="A69" s="20" t="inlineStr">
        <is>
          <t>Flat Earthers</t>
        </is>
      </c>
      <c r="B69" s="20" t="inlineStr">
        <is>
          <t>Group</t>
        </is>
      </c>
      <c r="C69" s="20" t="inlineStr">
        <is>
          <t>Organization</t>
        </is>
      </c>
      <c r="D69" s="20" t="inlineStr">
        <is>
          <t>Common</t>
        </is>
      </c>
      <c r="E69" s="20" t="inlineStr">
        <is>
          <t>1</t>
        </is>
      </c>
      <c r="F69" s="20" t="inlineStr">
        <is>
          <t>2</t>
        </is>
      </c>
      <c r="G69" s="20" t="inlineStr">
        <is>
          <t>Weird, Conservative</t>
        </is>
      </c>
      <c r="H69" s="20" t="str"/>
      <c r="I69" s="20" t="inlineStr">
        <is>
          <t>As an action, roll 2d6; if the result is no greater than the number of Places you control, draw that many Plots.</t>
        </is>
      </c>
      <c r="J69" s="20" t="inlineStr">
        <is>
          <t>Needs rules-engine encoding</t>
        </is>
      </c>
      <c r="K69" s="20" t="inlineStr">
        <is>
          <t>High</t>
        </is>
      </c>
      <c r="L69" s="20" t="inlineStr">
        <is>
          <t>Mechanics and outgoing-arrow count checked against the printed card; described in our own words. Exact physical edge placement tracked separately.</t>
        </is>
      </c>
      <c r="M69" s="20" t="inlineStr">
        <is>
          <t>https://www.scribd.com/document/851089808/TheINWOBook</t>
        </is>
      </c>
      <c r="N69" t="inlineStr">
        <is>
          <t>Passive or activated special ability</t>
        </is>
      </c>
      <c r="O69" t="inlineStr">
        <is>
          <t>Per card ability</t>
        </is>
      </c>
      <c r="Q69" t="inlineStr">
        <is>
          <t>While controlled / per effect</t>
        </is>
      </c>
      <c r="R69" t="inlineStr">
        <is>
          <t>As an action, roll 2d6; if the result is no greater than the number of Places you control, draw that many Plots.</t>
        </is>
      </c>
      <c r="S69" t="inlineStr">
        <is>
          <t>NO</t>
        </is>
      </c>
      <c r="T69" t="inlineStr">
        <is>
          <t>1 incoming control arrow</t>
        </is>
      </c>
      <c r="U69" t="n">
        <v>1</v>
      </c>
      <c r="V69" t="inlineStr">
        <is>
          <t>N/A — INWO uses Plots instead of group income/money</t>
        </is>
      </c>
      <c r="W69" t="inlineStr">
        <is>
          <t>Standard: 1 action token (Illuminati: 1 Illuminati action); verified mechanics state no override</t>
        </is>
      </c>
      <c r="X69" t="inlineStr">
        <is>
          <t>One copy in play at a time; spare copies act as hidden agents vs. a rival's copy; a destroyed Group cannot be replayed unless a card returns it (base rule)</t>
        </is>
      </c>
      <c r="Y69" t="inlineStr">
        <is>
          <t>None beyond base rules (verified mechanics state no override)</t>
        </is>
      </c>
      <c r="Z69" t="inlineStr">
        <is>
          <t>Standard response window (verified mechanics state no override)</t>
        </is>
      </c>
      <c r="AA69" t="inlineStr">
        <is>
          <t>Specific card overrides general rules</t>
        </is>
      </c>
      <c r="AB69" t="inlineStr">
        <is>
          <t>Indexed INWO Book, Groups section</t>
        </is>
      </c>
      <c r="AC69" t="inlineStr">
        <is>
          <t>FUNCTIONALLY COMPLETE</t>
        </is>
      </c>
      <c r="AE69" t="inlineStr">
        <is>
          <t>Indexed INWO Book / historical cross-check</t>
        </is>
      </c>
      <c r="AF69" t="inlineStr">
        <is>
          <t>EXACT EDGE POSITIONS VERIFIED</t>
        </is>
      </c>
      <c r="AG69" t="inlineStr">
        <is>
          <t>Verified from supplied original-card scan: Groups/INWO - Flat Earthers.png. Triangle orientation establishes IN=TOP, OUT=RIGHT.</t>
        </is>
      </c>
      <c r="AH69" t="inlineStr">
        <is>
          <t>TOP</t>
        </is>
      </c>
      <c r="AI69" t="inlineStr">
        <is>
          <t>RIGHT</t>
        </is>
      </c>
      <c r="AJ69" t="inlineStr">
        <is>
          <t>VERIFIED</t>
        </is>
      </c>
      <c r="AK69" t="inlineStr">
        <is>
          <t>Verified from supplied original-card scan: Groups/INWO - Flat Earthers.png. Triangle orientation establishes IN=TOP, OUT=RIGHT.</t>
        </is>
      </c>
    </row>
    <row r="70" ht="34" customHeight="1" s="16">
      <c r="A70" s="20" t="inlineStr">
        <is>
          <t>Fnord Motor Company</t>
        </is>
      </c>
      <c r="B70" s="20" t="inlineStr">
        <is>
          <t>Group</t>
        </is>
      </c>
      <c r="C70" s="20" t="inlineStr">
        <is>
          <t>Organization</t>
        </is>
      </c>
      <c r="D70" s="20" t="inlineStr">
        <is>
          <t>Common</t>
        </is>
      </c>
      <c r="E70" s="20" t="inlineStr">
        <is>
          <t>2</t>
        </is>
      </c>
      <c r="F70" s="20" t="inlineStr">
        <is>
          <t>4</t>
        </is>
      </c>
      <c r="G70" s="20" t="inlineStr">
        <is>
          <t>Peaceful, Corporate</t>
        </is>
      </c>
      <c r="H70" s="20" t="str"/>
      <c r="I70" s="20" t="inlineStr">
        <is>
          <t>As an action, discard a Plot to reroll a failed attack made by another group you control.</t>
        </is>
      </c>
      <c r="J70" s="20" t="inlineStr">
        <is>
          <t>Needs rules-engine encoding</t>
        </is>
      </c>
      <c r="K70" s="20" t="inlineStr">
        <is>
          <t>High</t>
        </is>
      </c>
      <c r="L70" s="20" t="inlineStr">
        <is>
          <t>Mechanics and outgoing-arrow count checked against the printed card; described in our own words. Exact physical edge placement tracked separately.</t>
        </is>
      </c>
      <c r="M70" s="20" t="inlineStr">
        <is>
          <t>https://www.scribd.com/document/851089808/TheINWOBook</t>
        </is>
      </c>
      <c r="N70" t="inlineStr">
        <is>
          <t>Passive or activated special ability</t>
        </is>
      </c>
      <c r="O70" t="inlineStr">
        <is>
          <t>Per card ability</t>
        </is>
      </c>
      <c r="Q70" t="inlineStr">
        <is>
          <t>While controlled / per effect</t>
        </is>
      </c>
      <c r="R70" t="inlineStr">
        <is>
          <t>As an action, discard a Plot to reroll a failed attack made by another group you control.</t>
        </is>
      </c>
      <c r="S70" t="inlineStr">
        <is>
          <t>NO</t>
        </is>
      </c>
      <c r="T70" t="inlineStr">
        <is>
          <t>1 incoming control arrow</t>
        </is>
      </c>
      <c r="U70" t="n">
        <v>1</v>
      </c>
      <c r="V70" t="inlineStr">
        <is>
          <t>N/A — INWO uses Plots instead of group income/money</t>
        </is>
      </c>
      <c r="W70" t="inlineStr">
        <is>
          <t>Standard: 1 action token (Illuminati: 1 Illuminati action); verified mechanics state no override</t>
        </is>
      </c>
      <c r="X70" t="inlineStr">
        <is>
          <t>One copy in play at a time; spare copies act as hidden agents vs. a rival's copy; a destroyed Group cannot be replayed unless a card returns it (base rule)</t>
        </is>
      </c>
      <c r="Y70" t="inlineStr">
        <is>
          <t>None beyond base rules (verified mechanics state no override)</t>
        </is>
      </c>
      <c r="Z70" t="inlineStr">
        <is>
          <t>Standard response window (verified mechanics state no override)</t>
        </is>
      </c>
      <c r="AA70" t="inlineStr">
        <is>
          <t>Specific card overrides general rules</t>
        </is>
      </c>
      <c r="AB70" t="inlineStr">
        <is>
          <t>Indexed INWO Book, Groups section</t>
        </is>
      </c>
      <c r="AC70" t="inlineStr">
        <is>
          <t>FUNCTIONALLY COMPLETE</t>
        </is>
      </c>
      <c r="AE70" t="inlineStr">
        <is>
          <t>Indexed INWO Book / historical cross-check</t>
        </is>
      </c>
      <c r="AF70" t="inlineStr">
        <is>
          <t>EXACT EDGE POSITIONS VERIFIED</t>
        </is>
      </c>
      <c r="AG70" t="inlineStr">
        <is>
          <t>Verified from supplied original-card scan: Groups/INWO - Fnord Motor Company.png. Triangle orientation establishes IN=TOP, OUT=LEFT.</t>
        </is>
      </c>
      <c r="AH70" t="inlineStr">
        <is>
          <t>TOP</t>
        </is>
      </c>
      <c r="AI70" t="inlineStr">
        <is>
          <t>LEFT</t>
        </is>
      </c>
      <c r="AJ70" t="inlineStr">
        <is>
          <t>VERIFIED</t>
        </is>
      </c>
      <c r="AK70" t="inlineStr">
        <is>
          <t>Verified from supplied original-card scan: Groups/INWO - Fnord Motor Company.png. Triangle orientation establishes IN=TOP, OUT=LEFT.</t>
        </is>
      </c>
    </row>
    <row r="71" ht="34" customHeight="1" s="16">
      <c r="A71" s="20" t="inlineStr">
        <is>
          <t>Fraternal Orders</t>
        </is>
      </c>
      <c r="B71" s="20" t="inlineStr">
        <is>
          <t>Group</t>
        </is>
      </c>
      <c r="C71" s="20" t="inlineStr">
        <is>
          <t>Organization</t>
        </is>
      </c>
      <c r="D71" s="20" t="inlineStr">
        <is>
          <t>Common</t>
        </is>
      </c>
      <c r="E71" s="20" t="inlineStr">
        <is>
          <t>3</t>
        </is>
      </c>
      <c r="F71" s="20" t="inlineStr">
        <is>
          <t>5</t>
        </is>
      </c>
      <c r="G71" s="20" t="inlineStr">
        <is>
          <t>Conservative</t>
        </is>
      </c>
      <c r="H71" s="20" t="str"/>
      <c r="I71" s="20" t="inlineStr">
        <is>
          <t>As an action, draw a Group card at any time.</t>
        </is>
      </c>
      <c r="J71" s="20" t="inlineStr">
        <is>
          <t>Needs rules-engine encoding</t>
        </is>
      </c>
      <c r="K71" s="20" t="inlineStr">
        <is>
          <t>High</t>
        </is>
      </c>
      <c r="L71" s="20" t="inlineStr">
        <is>
          <t>Mechanics and outgoing-arrow count checked against the printed card; described in our own words. Exact physical edge placement tracked separately.</t>
        </is>
      </c>
      <c r="M71" s="20" t="inlineStr">
        <is>
          <t>https://www.scribd.com/document/851089808/TheINWOBook</t>
        </is>
      </c>
      <c r="N71" t="inlineStr">
        <is>
          <t>Passive or activated special ability</t>
        </is>
      </c>
      <c r="O71" t="inlineStr">
        <is>
          <t>Per card ability</t>
        </is>
      </c>
      <c r="Q71" t="inlineStr">
        <is>
          <t>While controlled / per effect</t>
        </is>
      </c>
      <c r="R71" t="inlineStr">
        <is>
          <t>As an action, draw a Group card at any time.</t>
        </is>
      </c>
      <c r="S71" t="inlineStr">
        <is>
          <t>NO</t>
        </is>
      </c>
      <c r="T71" t="inlineStr">
        <is>
          <t>1 incoming control arrow</t>
        </is>
      </c>
      <c r="U71" t="n">
        <v>1</v>
      </c>
      <c r="V71" t="inlineStr">
        <is>
          <t>N/A — INWO uses Plots instead of group income/money</t>
        </is>
      </c>
      <c r="W71" t="inlineStr">
        <is>
          <t>Standard: 1 action token (Illuminati: 1 Illuminati action); verified mechanics state no override</t>
        </is>
      </c>
      <c r="X71" t="inlineStr">
        <is>
          <t>One copy in play at a time; spare copies act as hidden agents vs. a rival's copy; a destroyed Group cannot be replayed unless a card returns it (base rule)</t>
        </is>
      </c>
      <c r="Y71" t="inlineStr">
        <is>
          <t>None beyond base rules (verified mechanics state no override)</t>
        </is>
      </c>
      <c r="Z71" t="inlineStr">
        <is>
          <t>Standard response window (verified mechanics state no override)</t>
        </is>
      </c>
      <c r="AA71" t="inlineStr">
        <is>
          <t>Specific card overrides general rules</t>
        </is>
      </c>
      <c r="AB71" t="inlineStr">
        <is>
          <t>Indexed INWO Book, Groups section</t>
        </is>
      </c>
      <c r="AC71" t="inlineStr">
        <is>
          <t>FUNCTIONALLY COMPLETE</t>
        </is>
      </c>
      <c r="AE71" t="inlineStr">
        <is>
          <t>Indexed INWO Book / historical cross-check</t>
        </is>
      </c>
      <c r="AF71" t="inlineStr">
        <is>
          <t>EXACT EDGE POSITIONS VERIFIED</t>
        </is>
      </c>
      <c r="AG71" t="inlineStr">
        <is>
          <t>Verified from supplied original-card scan: Groups/INWO - Fraternal Orders.png. Triangle orientation establishes IN=BOTTOM, OUT=TOP.</t>
        </is>
      </c>
      <c r="AH71" t="inlineStr">
        <is>
          <t>BOTTOM</t>
        </is>
      </c>
      <c r="AI71" t="inlineStr">
        <is>
          <t>TOP</t>
        </is>
      </c>
      <c r="AJ71" t="inlineStr">
        <is>
          <t>VERIFIED</t>
        </is>
      </c>
      <c r="AK71" t="inlineStr">
        <is>
          <t>Verified from supplied original-card scan: Groups/INWO - Fraternal Orders.png. Triangle orientation establishes IN=BOTTOM, OUT=TOP.</t>
        </is>
      </c>
    </row>
    <row r="72" ht="34" customHeight="1" s="16">
      <c r="A72" s="20" t="inlineStr">
        <is>
          <t>Fred Birch Society</t>
        </is>
      </c>
      <c r="B72" s="20" t="inlineStr">
        <is>
          <t>Group</t>
        </is>
      </c>
      <c r="C72" s="20" t="inlineStr">
        <is>
          <t>Organization</t>
        </is>
      </c>
      <c r="D72" s="20" t="inlineStr">
        <is>
          <t>Rare</t>
        </is>
      </c>
      <c r="E72" s="20" t="inlineStr">
        <is>
          <t>1</t>
        </is>
      </c>
      <c r="F72" s="20" t="inlineStr">
        <is>
          <t>4</t>
        </is>
      </c>
      <c r="G72" s="20" t="inlineStr">
        <is>
          <t>Conservative, Straight</t>
        </is>
      </c>
      <c r="H72" s="20" t="str"/>
      <c r="I72" s="20" t="inlineStr">
        <is>
          <t>Counts double as Conservative for the Illuminated goal calculation, but not for ordinary/basic alignment effects.</t>
        </is>
      </c>
      <c r="J72" s="20" t="inlineStr">
        <is>
          <t>Needs rules-engine encoding</t>
        </is>
      </c>
      <c r="K72" s="20" t="inlineStr">
        <is>
          <t>High</t>
        </is>
      </c>
      <c r="L72" s="20" t="inlineStr">
        <is>
          <t>Mechanics and outgoing-arrow count checked against the printed card; described in our own words. Exact physical edge placement tracked separately.</t>
        </is>
      </c>
      <c r="M72" s="20" t="inlineStr">
        <is>
          <t>https://www.scribd.com/document/851089808/TheINWOBook</t>
        </is>
      </c>
      <c r="N72" t="inlineStr">
        <is>
          <t>Passive or activated special ability</t>
        </is>
      </c>
      <c r="O72" t="inlineStr">
        <is>
          <t>Per card ability</t>
        </is>
      </c>
      <c r="Q72" t="inlineStr">
        <is>
          <t>While controlled / per effect</t>
        </is>
      </c>
      <c r="R72" t="inlineStr">
        <is>
          <t>Counts double as Conservative for the Illuminated goal calculation, but not for ordinary/basic alignment effects.</t>
        </is>
      </c>
      <c r="S72" t="inlineStr">
        <is>
          <t>NO</t>
        </is>
      </c>
      <c r="T72" t="inlineStr">
        <is>
          <t>1 incoming control arrow</t>
        </is>
      </c>
      <c r="U72" t="n">
        <v>1</v>
      </c>
      <c r="V72" t="inlineStr">
        <is>
          <t>N/A — INWO uses Plots instead of group income/money</t>
        </is>
      </c>
      <c r="W72" t="inlineStr">
        <is>
          <t>Standard: 1 action token (Illuminati: 1 Illuminati action); verified mechanics state no override</t>
        </is>
      </c>
      <c r="X72" t="inlineStr">
        <is>
          <t>One copy in play at a time; spare copies act as hidden agents vs. a rival's copy; a destroyed Group cannot be replayed unless a card returns it (base rule)</t>
        </is>
      </c>
      <c r="Y72" t="inlineStr">
        <is>
          <t>None beyond base rules (verified mechanics state no override)</t>
        </is>
      </c>
      <c r="Z72" t="inlineStr">
        <is>
          <t>Standard response window (verified mechanics state no override)</t>
        </is>
      </c>
      <c r="AA72" t="inlineStr">
        <is>
          <t>Specific card overrides general rules</t>
        </is>
      </c>
      <c r="AB72" t="inlineStr">
        <is>
          <t>Indexed INWO Book, Groups section</t>
        </is>
      </c>
      <c r="AC72" t="inlineStr">
        <is>
          <t>FUNCTIONALLY COMPLETE</t>
        </is>
      </c>
      <c r="AE72" t="inlineStr">
        <is>
          <t>Indexed INWO Book / historical cross-check</t>
        </is>
      </c>
      <c r="AF72" t="inlineStr">
        <is>
          <t>EXACT EDGE POSITIONS VERIFIED</t>
        </is>
      </c>
      <c r="AG72" t="inlineStr">
        <is>
          <t>Verified from supplied original-card scan: Groups/INWO - Fred Birch Society.png. Triangle orientation establishes IN=BOTTOM, OUT=TOP.</t>
        </is>
      </c>
      <c r="AH72" t="inlineStr">
        <is>
          <t>BOTTOM</t>
        </is>
      </c>
      <c r="AI72" t="inlineStr">
        <is>
          <t>TOP</t>
        </is>
      </c>
      <c r="AJ72" t="inlineStr">
        <is>
          <t>VERIFIED</t>
        </is>
      </c>
      <c r="AK72" t="inlineStr">
        <is>
          <t>Verified from supplied original-card scan: Groups/INWO - Fred Birch Society.png. Triangle orientation establishes IN=BOTTOM, OUT=TOP.</t>
        </is>
      </c>
    </row>
    <row r="73" ht="34" customHeight="1" s="16">
      <c r="A73" s="20" t="inlineStr">
        <is>
          <t>Gay Activists</t>
        </is>
      </c>
      <c r="B73" s="20" t="inlineStr">
        <is>
          <t>Group</t>
        </is>
      </c>
      <c r="C73" s="20" t="inlineStr">
        <is>
          <t>Organization</t>
        </is>
      </c>
      <c r="D73" s="20" t="inlineStr">
        <is>
          <t>Uncommon</t>
        </is>
      </c>
      <c r="E73" s="20" t="inlineStr">
        <is>
          <t>2</t>
        </is>
      </c>
      <c r="F73" s="20" t="inlineStr">
        <is>
          <t>3</t>
        </is>
      </c>
      <c r="G73" s="20" t="inlineStr">
        <is>
          <t>Weird</t>
        </is>
      </c>
      <c r="H73" s="20" t="str"/>
      <c r="I73" s="20" t="inlineStr">
        <is>
          <t>As an action, reverse one alignment of any group until end of turn; cannot be done during an attack.</t>
        </is>
      </c>
      <c r="J73" s="20" t="inlineStr">
        <is>
          <t>Needs rules-engine encoding</t>
        </is>
      </c>
      <c r="K73" s="20" t="inlineStr">
        <is>
          <t>High</t>
        </is>
      </c>
      <c r="L73" s="20" t="inlineStr">
        <is>
          <t>Mechanics and outgoing-arrow count checked against the printed card; described in our own words. Exact physical edge placement tracked separately.</t>
        </is>
      </c>
      <c r="M73" s="20" t="inlineStr">
        <is>
          <t>https://www.scribd.com/document/851089808/TheINWOBook</t>
        </is>
      </c>
      <c r="N73" t="inlineStr">
        <is>
          <t>Passive or activated special ability</t>
        </is>
      </c>
      <c r="O73" t="inlineStr">
        <is>
          <t>Per card ability</t>
        </is>
      </c>
      <c r="Q73" t="inlineStr">
        <is>
          <t>While controlled / per effect</t>
        </is>
      </c>
      <c r="R73" t="inlineStr">
        <is>
          <t>As an action, reverse one alignment of any group until end of turn; cannot be done during an attack.</t>
        </is>
      </c>
      <c r="S73" t="inlineStr">
        <is>
          <t>NO</t>
        </is>
      </c>
      <c r="T73" t="inlineStr">
        <is>
          <t>1 incoming control arrow</t>
        </is>
      </c>
      <c r="U73" t="n">
        <v>1</v>
      </c>
      <c r="V73" t="inlineStr">
        <is>
          <t>N/A — INWO uses Plots instead of group income/money</t>
        </is>
      </c>
      <c r="W73" t="inlineStr">
        <is>
          <t>Standard: 1 action token (Illuminati: 1 Illuminati action); verified mechanics state no override</t>
        </is>
      </c>
      <c r="X73" t="inlineStr">
        <is>
          <t>One copy in play at a time; spare copies act as hidden agents vs. a rival's copy; a destroyed Group cannot be replayed unless a card returns it (base rule)</t>
        </is>
      </c>
      <c r="Y73" t="inlineStr">
        <is>
          <t>None beyond base rules (verified mechanics state no override)</t>
        </is>
      </c>
      <c r="Z73" t="inlineStr">
        <is>
          <t>Standard response window (verified mechanics state no override)</t>
        </is>
      </c>
      <c r="AA73" t="inlineStr">
        <is>
          <t>Specific card overrides general rules</t>
        </is>
      </c>
      <c r="AB73" t="inlineStr">
        <is>
          <t>Indexed INWO Book, Groups section</t>
        </is>
      </c>
      <c r="AC73" t="inlineStr">
        <is>
          <t>FUNCTIONALLY COMPLETE</t>
        </is>
      </c>
      <c r="AE73" t="inlineStr">
        <is>
          <t>Indexed INWO Book / historical cross-check</t>
        </is>
      </c>
      <c r="AF73" t="inlineStr">
        <is>
          <t>EXACT EDGE POSITIONS VERIFIED</t>
        </is>
      </c>
      <c r="AG73" t="inlineStr">
        <is>
          <t>Verified from supplied original-card scan: Groups/INWO - Gay Activists.png. Triangle orientation establishes IN=TOP, OUT=LEFT.</t>
        </is>
      </c>
      <c r="AH73" t="inlineStr">
        <is>
          <t>TOP</t>
        </is>
      </c>
      <c r="AI73" t="inlineStr">
        <is>
          <t>LEFT</t>
        </is>
      </c>
      <c r="AJ73" t="inlineStr">
        <is>
          <t>VERIFIED</t>
        </is>
      </c>
      <c r="AK73" t="inlineStr">
        <is>
          <t>Verified from supplied original-card scan: Groups/INWO - Gay Activists.png. Triangle orientation establishes IN=TOP, OUT=LEFT.</t>
        </is>
      </c>
    </row>
    <row r="74" ht="34" customHeight="1" s="16">
      <c r="A74" s="20" t="inlineStr">
        <is>
          <t>Girlie Magazines</t>
        </is>
      </c>
      <c r="B74" s="20" t="inlineStr">
        <is>
          <t>Group</t>
        </is>
      </c>
      <c r="C74" s="20" t="inlineStr">
        <is>
          <t>Organization</t>
        </is>
      </c>
      <c r="D74" s="20" t="inlineStr">
        <is>
          <t>Common</t>
        </is>
      </c>
      <c r="E74" s="20" t="inlineStr">
        <is>
          <t>2/1</t>
        </is>
      </c>
      <c r="F74" s="20" t="inlineStr">
        <is>
          <t>2</t>
        </is>
      </c>
      <c r="G74" s="20" t="inlineStr">
        <is>
          <t>Liberal</t>
        </is>
      </c>
      <c r="H74" s="20" t="inlineStr">
        <is>
          <t>Media</t>
        </is>
      </c>
      <c r="I74" s="20" t="inlineStr">
        <is>
          <t>+5 to direct control of Straight groups.</t>
        </is>
      </c>
      <c r="J74" s="20" t="inlineStr">
        <is>
          <t>Needs rules-engine encoding</t>
        </is>
      </c>
      <c r="K74" s="20" t="inlineStr">
        <is>
          <t>High</t>
        </is>
      </c>
      <c r="L74" s="20" t="inlineStr">
        <is>
          <t>Mechanics and outgoing-arrow count checked against the printed card; described in our own words. Exact physical edge placement tracked separately.</t>
        </is>
      </c>
      <c r="M74" s="20" t="inlineStr">
        <is>
          <t>https://www.scribd.com/document/851089808/TheINWOBook</t>
        </is>
      </c>
      <c r="N74" t="inlineStr">
        <is>
          <t>Passive or activated special ability</t>
        </is>
      </c>
      <c r="O74" t="inlineStr">
        <is>
          <t>Per card ability</t>
        </is>
      </c>
      <c r="Q74" t="inlineStr">
        <is>
          <t>While controlled / per effect</t>
        </is>
      </c>
      <c r="R74" t="inlineStr">
        <is>
          <t>+5 to direct control of Straight groups.</t>
        </is>
      </c>
      <c r="S74" t="inlineStr">
        <is>
          <t>NO</t>
        </is>
      </c>
      <c r="T74" t="inlineStr">
        <is>
          <t>1 incoming control arrow</t>
        </is>
      </c>
      <c r="U74" t="n">
        <v>1</v>
      </c>
      <c r="V74" t="inlineStr">
        <is>
          <t>N/A — INWO uses Plots instead of group income/money</t>
        </is>
      </c>
      <c r="W74" t="inlineStr">
        <is>
          <t>Standard: 1 action token (Illuminati: 1 Illuminati action); verified mechanics state no override</t>
        </is>
      </c>
      <c r="X74" t="inlineStr">
        <is>
          <t>One copy in play at a time; spare copies act as hidden agents vs. a rival's copy; a destroyed Group cannot be replayed unless a card returns it (base rule)</t>
        </is>
      </c>
      <c r="Y74" t="inlineStr">
        <is>
          <t>None beyond base rules (verified mechanics state no override)</t>
        </is>
      </c>
      <c r="Z74" t="inlineStr">
        <is>
          <t>Standard response window (verified mechanics state no override)</t>
        </is>
      </c>
      <c r="AA74" t="inlineStr">
        <is>
          <t>Specific card overrides general rules</t>
        </is>
      </c>
      <c r="AB74" t="inlineStr">
        <is>
          <t>Indexed INWO Book, Groups section</t>
        </is>
      </c>
      <c r="AC74" t="inlineStr">
        <is>
          <t>FUNCTIONALLY COMPLETE</t>
        </is>
      </c>
      <c r="AE74" t="inlineStr">
        <is>
          <t>Indexed INWO Book / historical cross-check</t>
        </is>
      </c>
      <c r="AF74" t="inlineStr">
        <is>
          <t>EXACT EDGE POSITIONS VERIFIED</t>
        </is>
      </c>
      <c r="AG74" t="inlineStr">
        <is>
          <t>Verified from supplied original-card scan: Groups/INWO - Girlie Magazines.png. Triangle orientation establishes IN=TOP, OUT=BOTTOM.</t>
        </is>
      </c>
      <c r="AH74" t="inlineStr">
        <is>
          <t>TOP</t>
        </is>
      </c>
      <c r="AI74" t="inlineStr">
        <is>
          <t>BOTTOM</t>
        </is>
      </c>
      <c r="AJ74" t="inlineStr">
        <is>
          <t>VERIFIED</t>
        </is>
      </c>
      <c r="AK74" t="inlineStr">
        <is>
          <t>Verified from supplied original-card scan: Groups/INWO - Girlie Magazines.png. Triangle orientation establishes IN=TOP, OUT=BOTTOM.</t>
        </is>
      </c>
    </row>
    <row r="75" ht="34" customHeight="1" s="16">
      <c r="A75" s="20" t="inlineStr">
        <is>
          <t>Goldfish Fanciers</t>
        </is>
      </c>
      <c r="B75" s="20" t="inlineStr">
        <is>
          <t>Group</t>
        </is>
      </c>
      <c r="C75" s="20" t="inlineStr">
        <is>
          <t>Organization</t>
        </is>
      </c>
      <c r="D75" s="20" t="inlineStr">
        <is>
          <t>Rare</t>
        </is>
      </c>
      <c r="E75" s="20" t="inlineStr">
        <is>
          <t>1</t>
        </is>
      </c>
      <c r="F75" s="20" t="inlineStr">
        <is>
          <t>4</t>
        </is>
      </c>
      <c r="G75" s="20" t="inlineStr">
        <is>
          <t>Peaceful, Fanatic</t>
        </is>
      </c>
      <c r="H75" s="20" t="str"/>
      <c r="I75" s="20" t="inlineStr">
        <is>
          <t>Fanatic groups cannot attack any group in your Power Structure.</t>
        </is>
      </c>
      <c r="J75" s="20" t="inlineStr">
        <is>
          <t>Needs rules-engine encoding</t>
        </is>
      </c>
      <c r="K75" s="20" t="inlineStr">
        <is>
          <t>High</t>
        </is>
      </c>
      <c r="L75" s="20" t="inlineStr">
        <is>
          <t>Mechanics and outgoing-arrow count checked against the printed card; described in our own words. Exact physical edge placement tracked separately.</t>
        </is>
      </c>
      <c r="M75" s="20" t="inlineStr">
        <is>
          <t>https://www.scribd.com/document/851089808/TheINWOBook</t>
        </is>
      </c>
      <c r="N75" t="inlineStr">
        <is>
          <t>Passive or activated special ability</t>
        </is>
      </c>
      <c r="O75" t="inlineStr">
        <is>
          <t>Per card ability</t>
        </is>
      </c>
      <c r="Q75" t="inlineStr">
        <is>
          <t>While controlled / per effect</t>
        </is>
      </c>
      <c r="R75" t="inlineStr">
        <is>
          <t>Fanatic groups cannot attack any group in your Power Structure.</t>
        </is>
      </c>
      <c r="S75" t="inlineStr">
        <is>
          <t>NO</t>
        </is>
      </c>
      <c r="T75" t="inlineStr">
        <is>
          <t>1 incoming control arrow</t>
        </is>
      </c>
      <c r="U75" t="n">
        <v>0</v>
      </c>
      <c r="V75" t="inlineStr">
        <is>
          <t>N/A — INWO uses Plots instead of group income/money</t>
        </is>
      </c>
      <c r="W75" t="inlineStr">
        <is>
          <t>Standard: 1 action token (Illuminati: 1 Illuminati action); verified mechanics state no override</t>
        </is>
      </c>
      <c r="X75" t="inlineStr">
        <is>
          <t>One copy in play at a time; spare copies act as hidden agents vs. a rival's copy; a destroyed Group cannot be replayed unless a card returns it (base rule)</t>
        </is>
      </c>
      <c r="Y75" t="inlineStr">
        <is>
          <t>None beyond base rules (verified mechanics state no override)</t>
        </is>
      </c>
      <c r="Z75" t="inlineStr">
        <is>
          <t>Standard response window (verified mechanics state no override)</t>
        </is>
      </c>
      <c r="AA75" t="inlineStr">
        <is>
          <t>Specific card overrides general rules</t>
        </is>
      </c>
      <c r="AB75" t="inlineStr">
        <is>
          <t>Indexed INWO Book, Groups section</t>
        </is>
      </c>
      <c r="AC75" t="inlineStr">
        <is>
          <t>FUNCTIONALLY COMPLETE</t>
        </is>
      </c>
      <c r="AE75" t="inlineStr">
        <is>
          <t>Indexed INWO Book / historical cross-check</t>
        </is>
      </c>
      <c r="AF75" t="inlineStr">
        <is>
          <t>EXACT EDGE POSITIONS VERIFIED</t>
        </is>
      </c>
      <c r="AG75" t="inlineStr">
        <is>
          <t>Verified from supplied original-card scan: Groups/INWO - Goldfish Fanciers.png. Triangle orientation establishes IN=TOP, OUT=NONE.</t>
        </is>
      </c>
      <c r="AH75" t="inlineStr">
        <is>
          <t>TOP</t>
        </is>
      </c>
      <c r="AI75" t="inlineStr">
        <is>
          <t>NONE</t>
        </is>
      </c>
      <c r="AJ75" t="inlineStr">
        <is>
          <t>VERIFIED</t>
        </is>
      </c>
      <c r="AK75" t="inlineStr">
        <is>
          <t>Verified from supplied original-card scan: Groups/INWO - Goldfish Fanciers.png. Triangle orientation establishes IN=TOP, OUT=NONE.</t>
        </is>
      </c>
    </row>
    <row r="76" ht="34" customHeight="1" s="16">
      <c r="A76" s="20" t="inlineStr">
        <is>
          <t>Gun Lobby</t>
        </is>
      </c>
      <c r="B76" s="20" t="inlineStr">
        <is>
          <t>Group</t>
        </is>
      </c>
      <c r="C76" s="20" t="inlineStr">
        <is>
          <t>Organization</t>
        </is>
      </c>
      <c r="D76" s="20" t="inlineStr">
        <is>
          <t>Common</t>
        </is>
      </c>
      <c r="E76" s="20" t="inlineStr">
        <is>
          <t>1</t>
        </is>
      </c>
      <c r="F76" s="20" t="inlineStr">
        <is>
          <t>3*</t>
        </is>
      </c>
      <c r="G76" s="20" t="inlineStr">
        <is>
          <t>Violent, Conservative</t>
        </is>
      </c>
      <c r="H76" s="20" t="str"/>
      <c r="I76" s="20" t="inlineStr">
        <is>
          <t>Resistance becomes 10 against Liberal, Weird, or Communist attacks. After any attack on one of your Conservative or Violent groups resolves, whether it succeeded or failed, draw a Plot if you still control Gun Lobby.</t>
        </is>
      </c>
      <c r="J76" s="20" t="inlineStr">
        <is>
          <t>Needs rules-engine encoding</t>
        </is>
      </c>
      <c r="K76" s="20" t="inlineStr">
        <is>
          <t>High</t>
        </is>
      </c>
      <c r="L76" s="20" t="inlineStr">
        <is>
          <t>Mechanics and outgoing-arrow count checked against the printed card; described in our own words. Exact physical edge placement tracked separately.</t>
        </is>
      </c>
      <c r="M76" s="20" t="inlineStr">
        <is>
          <t>https://www.scribd.com/document/851089808/TheINWOBook</t>
        </is>
      </c>
      <c r="N76" t="inlineStr">
        <is>
          <t>Passive or activated special ability</t>
        </is>
      </c>
      <c r="O76" t="inlineStr">
        <is>
          <t>Per card ability</t>
        </is>
      </c>
      <c r="Q76" t="inlineStr">
        <is>
          <t>While controlled / per effect</t>
        </is>
      </c>
      <c r="R76" t="inlineStr">
        <is>
          <t>Resistance becomes 10 against Liberal, Weird, or Communist attacks. After any attack on one of your Conservative or Violent groups resolves, whether it succeeded or failed, draw a Plot if you still control Gun Lobby.</t>
        </is>
      </c>
      <c r="S76" t="inlineStr">
        <is>
          <t>NO</t>
        </is>
      </c>
      <c r="T76" t="inlineStr">
        <is>
          <t>1 incoming control arrow</t>
        </is>
      </c>
      <c r="U76" t="n">
        <v>1</v>
      </c>
      <c r="V76" t="inlineStr">
        <is>
          <t>N/A — INWO uses Plots instead of group income/money</t>
        </is>
      </c>
      <c r="W76" t="inlineStr">
        <is>
          <t>Standard: 1 action token (Illuminati: 1 Illuminati action); verified mechanics state no override</t>
        </is>
      </c>
      <c r="X76" t="inlineStr">
        <is>
          <t>One copy in play at a time; spare copies act as hidden agents vs. a rival's copy; a destroyed Group cannot be replayed unless a card returns it (base rule)</t>
        </is>
      </c>
      <c r="Y76" t="inlineStr">
        <is>
          <t>None beyond base rules (verified mechanics state no override)</t>
        </is>
      </c>
      <c r="Z76" t="inlineStr">
        <is>
          <t>Standard response window (verified mechanics state no override)</t>
        </is>
      </c>
      <c r="AA76" t="inlineStr">
        <is>
          <t>Specific card overrides general rules</t>
        </is>
      </c>
      <c r="AB76" t="inlineStr">
        <is>
          <t>Indexed INWO Book, Groups section</t>
        </is>
      </c>
      <c r="AC76" t="inlineStr">
        <is>
          <t>FUNCTIONALLY COMPLETE</t>
        </is>
      </c>
      <c r="AE76" t="inlineStr">
        <is>
          <t>Indexed INWO Book / historical cross-check</t>
        </is>
      </c>
      <c r="AF76" t="inlineStr">
        <is>
          <t>EXACT EDGE POSITIONS VERIFIED</t>
        </is>
      </c>
      <c r="AG76" t="inlineStr">
        <is>
          <t>Verified from supplied original-card scan: Groups/INWO - Gun Lobby.png. Triangle orientation establishes IN=BOTTOM, OUT=TOP.</t>
        </is>
      </c>
      <c r="AH76" t="inlineStr">
        <is>
          <t>BOTTOM</t>
        </is>
      </c>
      <c r="AI76" t="inlineStr">
        <is>
          <t>TOP</t>
        </is>
      </c>
      <c r="AJ76" t="inlineStr">
        <is>
          <t>VERIFIED</t>
        </is>
      </c>
      <c r="AK76" t="inlineStr">
        <is>
          <t>Verified from supplied original-card scan: Groups/INWO - Gun Lobby.png. Triangle orientation establishes IN=BOTTOM, OUT=TOP.</t>
        </is>
      </c>
    </row>
    <row r="77" ht="34" customHeight="1" s="16">
      <c r="A77" s="20" t="inlineStr">
        <is>
          <t>Hackers</t>
        </is>
      </c>
      <c r="B77" s="20" t="inlineStr">
        <is>
          <t>Group</t>
        </is>
      </c>
      <c r="C77" s="20" t="inlineStr">
        <is>
          <t>Organization</t>
        </is>
      </c>
      <c r="D77" s="20" t="inlineStr">
        <is>
          <t>Uncommon</t>
        </is>
      </c>
      <c r="E77" s="20" t="inlineStr">
        <is>
          <t>3/2</t>
        </is>
      </c>
      <c r="F77" s="20" t="inlineStr">
        <is>
          <t>4</t>
        </is>
      </c>
      <c r="G77" s="20" t="inlineStr">
        <is>
          <t>Weird, Fanatic</t>
        </is>
      </c>
      <c r="H77" s="20" t="inlineStr">
        <is>
          <t>Computer</t>
        </is>
      </c>
      <c r="I77" s="20" t="inlineStr">
        <is>
          <t>+4 direct control of Computer groups; +2 on any control or destruction attempt against Computer groups.</t>
        </is>
      </c>
      <c r="J77" s="20" t="inlineStr">
        <is>
          <t>Needs rules-engine encoding</t>
        </is>
      </c>
      <c r="K77" s="20" t="inlineStr">
        <is>
          <t>High</t>
        </is>
      </c>
      <c r="L77" s="20" t="inlineStr">
        <is>
          <t>Mechanics and outgoing-arrow count checked against the printed card; described in our own words. Exact physical edge placement tracked separately.</t>
        </is>
      </c>
      <c r="M77" s="20" t="inlineStr">
        <is>
          <t>https://www.scribd.com/document/851089808/TheINWOBook</t>
        </is>
      </c>
      <c r="N77" t="inlineStr">
        <is>
          <t>Passive or activated special ability</t>
        </is>
      </c>
      <c r="O77" t="inlineStr">
        <is>
          <t>Per card ability</t>
        </is>
      </c>
      <c r="Q77" t="inlineStr">
        <is>
          <t>While controlled / per effect</t>
        </is>
      </c>
      <c r="R77" t="inlineStr">
        <is>
          <t>+4 direct control of Computer groups; +2 on any control or destruction attempt against Computer groups.</t>
        </is>
      </c>
      <c r="S77" t="inlineStr">
        <is>
          <t>NO</t>
        </is>
      </c>
      <c r="T77" t="inlineStr">
        <is>
          <t>1 incoming control arrow</t>
        </is>
      </c>
      <c r="U77" t="n">
        <v>1</v>
      </c>
      <c r="V77" t="inlineStr">
        <is>
          <t>N/A — INWO uses Plots instead of group income/money</t>
        </is>
      </c>
      <c r="W77" t="inlineStr">
        <is>
          <t>Standard: 1 action token (Illuminati: 1 Illuminati action); verified mechanics state no override</t>
        </is>
      </c>
      <c r="X77" t="inlineStr">
        <is>
          <t>One copy in play at a time; spare copies act as hidden agents vs. a rival's copy; a destroyed Group cannot be replayed unless a card returns it (base rule)</t>
        </is>
      </c>
      <c r="Y77" t="inlineStr">
        <is>
          <t>None beyond base rules (verified mechanics state no override)</t>
        </is>
      </c>
      <c r="Z77" t="inlineStr">
        <is>
          <t>Standard response window (verified mechanics state no override)</t>
        </is>
      </c>
      <c r="AA77" t="inlineStr">
        <is>
          <t>Specific card overrides general rules</t>
        </is>
      </c>
      <c r="AB77" t="inlineStr">
        <is>
          <t>Indexed INWO Book, Groups section</t>
        </is>
      </c>
      <c r="AC77" t="inlineStr">
        <is>
          <t>FUNCTIONALLY COMPLETE</t>
        </is>
      </c>
      <c r="AE77" t="inlineStr">
        <is>
          <t>Indexed INWO Book / historical cross-check</t>
        </is>
      </c>
      <c r="AF77" t="inlineStr">
        <is>
          <t>EXACT EDGE POSITIONS VERIFIED</t>
        </is>
      </c>
      <c r="AG77" t="inlineStr">
        <is>
          <t>Verified from supplied original-card scan: Groups/INWO - Hackers.png. Triangle orientation establishes IN=TOP, OUT=LEFT.</t>
        </is>
      </c>
      <c r="AH77" t="inlineStr">
        <is>
          <t>TOP</t>
        </is>
      </c>
      <c r="AI77" t="inlineStr">
        <is>
          <t>LEFT</t>
        </is>
      </c>
      <c r="AJ77" t="inlineStr">
        <is>
          <t>VERIFIED</t>
        </is>
      </c>
      <c r="AK77" t="inlineStr">
        <is>
          <t>Verified from supplied original-card scan: Groups/INWO - Hackers.png. Triangle orientation establishes IN=TOP, OUT=LEFT.</t>
        </is>
      </c>
    </row>
    <row r="78" ht="34" customHeight="1" s="16">
      <c r="A78" s="20" t="inlineStr">
        <is>
          <t>Intellectuals</t>
        </is>
      </c>
      <c r="B78" s="20" t="inlineStr">
        <is>
          <t>Group</t>
        </is>
      </c>
      <c r="C78" s="20" t="inlineStr">
        <is>
          <t>Organization</t>
        </is>
      </c>
      <c r="D78" s="20" t="inlineStr">
        <is>
          <t>Common</t>
        </is>
      </c>
      <c r="E78" s="20" t="inlineStr">
        <is>
          <t>1</t>
        </is>
      </c>
      <c r="F78" s="20" t="inlineStr">
        <is>
          <t>3</t>
        </is>
      </c>
      <c r="G78" s="20" t="inlineStr">
        <is>
          <t>Weird, Fanatic</t>
        </is>
      </c>
      <c r="H78" s="20" t="str"/>
      <c r="I78" s="20" t="inlineStr">
        <is>
          <t>If this group's master is a Media group, that master gets +1 Power and can be neither captured nor destroyed other than through a Disaster or an Assassination.</t>
        </is>
      </c>
      <c r="J78" s="20" t="inlineStr">
        <is>
          <t>Needs rules-engine encoding</t>
        </is>
      </c>
      <c r="K78" s="20" t="inlineStr">
        <is>
          <t>High</t>
        </is>
      </c>
      <c r="L78" s="20" t="inlineStr">
        <is>
          <t>Mechanics and outgoing-arrow count checked against the printed card; described in our own words. Exact physical edge placement tracked separately.</t>
        </is>
      </c>
      <c r="M78" s="20" t="inlineStr">
        <is>
          <t>https://www.scribd.com/document/851089808/TheINWOBook</t>
        </is>
      </c>
      <c r="N78" t="inlineStr">
        <is>
          <t>Passive or activated special ability</t>
        </is>
      </c>
      <c r="O78" t="inlineStr">
        <is>
          <t>Per card ability</t>
        </is>
      </c>
      <c r="Q78" t="inlineStr">
        <is>
          <t>While controlled / per effect</t>
        </is>
      </c>
      <c r="R78" t="inlineStr">
        <is>
          <t>If this group's master is a Media group, that master gets +1 Power and can be neither captured nor destroyed other than through a Disaster or an Assassination.</t>
        </is>
      </c>
      <c r="S78" t="inlineStr">
        <is>
          <t>NO</t>
        </is>
      </c>
      <c r="T78" t="inlineStr">
        <is>
          <t>1 incoming control arrow</t>
        </is>
      </c>
      <c r="U78" t="n">
        <v>0</v>
      </c>
      <c r="V78" t="inlineStr">
        <is>
          <t>N/A — INWO uses Plots instead of group income/money</t>
        </is>
      </c>
      <c r="W78" t="inlineStr">
        <is>
          <t>Standard: 1 action token (Illuminati: 1 Illuminati action); verified mechanics state no override</t>
        </is>
      </c>
      <c r="X78" t="inlineStr">
        <is>
          <t>One copy in play at a time; spare copies act as hidden agents vs. a rival's copy; a destroyed Group cannot be replayed unless a card returns it (base rule)</t>
        </is>
      </c>
      <c r="Y78" t="inlineStr">
        <is>
          <t>None beyond base rules (verified mechanics state no override)</t>
        </is>
      </c>
      <c r="Z78" t="inlineStr">
        <is>
          <t>Standard response window (verified mechanics state no override)</t>
        </is>
      </c>
      <c r="AA78" t="inlineStr">
        <is>
          <t>Specific card overrides general rules</t>
        </is>
      </c>
      <c r="AB78" t="inlineStr">
        <is>
          <t>Indexed INWO Book, Groups section</t>
        </is>
      </c>
      <c r="AC78" t="inlineStr">
        <is>
          <t>FUNCTIONALLY COMPLETE</t>
        </is>
      </c>
      <c r="AE78" t="inlineStr">
        <is>
          <t>Indexed INWO Book / historical cross-check</t>
        </is>
      </c>
      <c r="AF78" t="inlineStr">
        <is>
          <t>EXACT EDGE POSITIONS VERIFIED</t>
        </is>
      </c>
      <c r="AG78" t="inlineStr">
        <is>
          <t>Verified from supplied original-card scan: Groups/INWO - Intellectuals.png. Triangle orientation establishes IN=TOP, OUT=NONE.</t>
        </is>
      </c>
      <c r="AH78" t="inlineStr">
        <is>
          <t>TOP</t>
        </is>
      </c>
      <c r="AI78" t="inlineStr">
        <is>
          <t>NONE</t>
        </is>
      </c>
      <c r="AJ78" t="inlineStr">
        <is>
          <t>VERIFIED</t>
        </is>
      </c>
      <c r="AK78" t="inlineStr">
        <is>
          <t>Verified from supplied original-card scan: Groups/INWO - Intellectuals.png. Triangle orientation establishes IN=TOP, OUT=NONE.</t>
        </is>
      </c>
    </row>
    <row r="79" ht="34" customHeight="1" s="16">
      <c r="A79" s="20" t="inlineStr">
        <is>
          <t>International Cocaine Smugglers</t>
        </is>
      </c>
      <c r="B79" s="20" t="inlineStr">
        <is>
          <t>Group</t>
        </is>
      </c>
      <c r="C79" s="20" t="inlineStr">
        <is>
          <t>Organization</t>
        </is>
      </c>
      <c r="D79" s="20" t="inlineStr">
        <is>
          <t>Common</t>
        </is>
      </c>
      <c r="E79" s="20" t="inlineStr">
        <is>
          <t>3</t>
        </is>
      </c>
      <c r="F79" s="20" t="inlineStr">
        <is>
          <t>5</t>
        </is>
      </c>
      <c r="G79" s="20" t="inlineStr">
        <is>
          <t>Violent, Criminal</t>
        </is>
      </c>
      <c r="H79" s="20" t="str"/>
      <c r="I79" s="20" t="inlineStr">
        <is>
          <t>+4 on any of your attempts to control Hollywood, Manuel Noriega, Urban Gangs, Cycle Gangs or Punk Rockers, or any puppet of theirs. (The optional extension to Personalities agreed by all players is not used.)</t>
        </is>
      </c>
      <c r="J79" s="20" t="inlineStr">
        <is>
          <t>Needs rules-engine encoding</t>
        </is>
      </c>
      <c r="K79" s="20" t="inlineStr">
        <is>
          <t>High</t>
        </is>
      </c>
      <c r="L79" s="20" t="inlineStr">
        <is>
          <t>Mechanics and outgoing-arrow count checked against the printed card; described in our own words. Exact physical edge placement tracked separately.</t>
        </is>
      </c>
      <c r="M79" s="20" t="inlineStr">
        <is>
          <t>https://www.scribd.com/document/851089808/TheINWOBook</t>
        </is>
      </c>
      <c r="N79" t="inlineStr">
        <is>
          <t>Passive or activated special ability</t>
        </is>
      </c>
      <c r="O79" t="inlineStr">
        <is>
          <t>Per card ability</t>
        </is>
      </c>
      <c r="Q79" t="inlineStr">
        <is>
          <t>While controlled / per effect</t>
        </is>
      </c>
      <c r="R79" t="inlineStr">
        <is>
          <t>+4 to control specified drug/crime/media groups and agreed qualifying Personalities.</t>
        </is>
      </c>
      <c r="S79" t="inlineStr">
        <is>
          <t>NO</t>
        </is>
      </c>
      <c r="T79" t="inlineStr">
        <is>
          <t>1 incoming control arrow</t>
        </is>
      </c>
      <c r="U79" t="n">
        <v>3</v>
      </c>
      <c r="V79" t="inlineStr">
        <is>
          <t>N/A — INWO uses Plots instead of group income/money</t>
        </is>
      </c>
      <c r="W79" t="inlineStr">
        <is>
          <t>Standard: 1 action token (Illuminati: 1 Illuminati action); verified mechanics state no override</t>
        </is>
      </c>
      <c r="X79" t="inlineStr">
        <is>
          <t>One copy in play at a time; spare copies act as hidden agents vs. a rival's copy; a destroyed Group cannot be replayed unless a card returns it (base rule)</t>
        </is>
      </c>
      <c r="Y79" t="inlineStr">
        <is>
          <t>None beyond base rules (verified mechanics state no override)</t>
        </is>
      </c>
      <c r="Z79" t="inlineStr">
        <is>
          <t>Standard response window (verified mechanics state no override)</t>
        </is>
      </c>
      <c r="AA79" t="inlineStr">
        <is>
          <t>Specific card overrides general rules</t>
        </is>
      </c>
      <c r="AB79" t="inlineStr">
        <is>
          <t>Indexed INWO Book, Groups section</t>
        </is>
      </c>
      <c r="AC79" t="inlineStr">
        <is>
          <t>FUNCTIONALLY COMPLETE</t>
        </is>
      </c>
      <c r="AE79" t="inlineStr">
        <is>
          <t>Indexed INWO Book / historical cross-check</t>
        </is>
      </c>
      <c r="AF79" t="inlineStr">
        <is>
          <t>EXACT EDGE POSITIONS VERIFIED</t>
        </is>
      </c>
      <c r="AG79" t="inlineStr">
        <is>
          <t>Verified from supplied original-card scan: Groups/INWO - International Cocaine Smugglers.png. Triangle orientation establishes IN=BOTTOM, OUT=TOP, LEFT, RIGHT.</t>
        </is>
      </c>
      <c r="AH79" t="inlineStr">
        <is>
          <t>BOTTOM</t>
        </is>
      </c>
      <c r="AI79" t="inlineStr">
        <is>
          <t>TOP, LEFT, RIGHT</t>
        </is>
      </c>
      <c r="AJ79" t="inlineStr">
        <is>
          <t>VERIFIED</t>
        </is>
      </c>
      <c r="AK79" t="inlineStr">
        <is>
          <t>Verified from supplied original-card scan: Groups/INWO - International Cocaine Smugglers.png. Triangle orientation establishes IN=BOTTOM, OUT=TOP, LEFT, RIGHT.</t>
        </is>
      </c>
    </row>
    <row r="80" ht="34" customHeight="1" s="16">
      <c r="A80" s="20" t="inlineStr">
        <is>
          <t>International Communist Conspiracy</t>
        </is>
      </c>
      <c r="B80" s="20" t="inlineStr">
        <is>
          <t>Group</t>
        </is>
      </c>
      <c r="C80" s="20" t="inlineStr">
        <is>
          <t>Organization</t>
        </is>
      </c>
      <c r="D80" s="20" t="inlineStr">
        <is>
          <t>Rare</t>
        </is>
      </c>
      <c r="E80" s="20" t="inlineStr">
        <is>
          <t>3</t>
        </is>
      </c>
      <c r="F80" s="20" t="inlineStr">
        <is>
          <t>3</t>
        </is>
      </c>
      <c r="G80" s="20" t="inlineStr">
        <is>
          <t>Fanatic</t>
        </is>
      </c>
      <c r="H80" s="20" t="inlineStr">
        <is>
          <t>Communist</t>
        </is>
      </c>
      <c r="I80" s="20" t="inlineStr">
        <is>
          <t>+3 on any control attempt against a Communist group or a puppet of a Communist master; uses +4 rather than -4 when it directly attacks to control a Fanatic Communist group.</t>
        </is>
      </c>
      <c r="J80" s="20" t="inlineStr">
        <is>
          <t>Needs rules-engine encoding</t>
        </is>
      </c>
      <c r="K80" s="20" t="inlineStr">
        <is>
          <t>High</t>
        </is>
      </c>
      <c r="L80" s="20" t="inlineStr">
        <is>
          <t>Mechanics and outgoing-arrow count checked against the printed card; described in our own words. Exact physical edge placement tracked separately.</t>
        </is>
      </c>
      <c r="M80" s="20" t="inlineStr">
        <is>
          <t>https://www.scribd.com/document/851089808/TheINWOBook</t>
        </is>
      </c>
      <c r="N80" t="inlineStr">
        <is>
          <t>Passive or activated special ability</t>
        </is>
      </c>
      <c r="O80" t="inlineStr">
        <is>
          <t>Per card ability</t>
        </is>
      </c>
      <c r="Q80" t="inlineStr">
        <is>
          <t>While controlled / per effect</t>
        </is>
      </c>
      <c r="R80" t="inlineStr">
        <is>
          <t>+3 on any control attempt against a Communist group or a puppet of a Communist master; uses +4 rather than -4 when it directly attacks to control a Fanatic Communist group.</t>
        </is>
      </c>
      <c r="S80" t="inlineStr">
        <is>
          <t>NO</t>
        </is>
      </c>
      <c r="T80" t="inlineStr">
        <is>
          <t>1 incoming control arrow</t>
        </is>
      </c>
      <c r="U80" t="n">
        <v>3</v>
      </c>
      <c r="V80" t="inlineStr">
        <is>
          <t>N/A — INWO uses Plots instead of group income/money</t>
        </is>
      </c>
      <c r="W80" t="inlineStr">
        <is>
          <t>Standard: 1 action token (Illuminati: 1 Illuminati action); verified mechanics state no override</t>
        </is>
      </c>
      <c r="X80" t="inlineStr">
        <is>
          <t>One copy in play at a time; spare copies act as hidden agents vs. a rival's copy; a destroyed Group cannot be replayed unless a card returns it (base rule)</t>
        </is>
      </c>
      <c r="Y80" t="inlineStr">
        <is>
          <t>None beyond base rules (verified mechanics state no override)</t>
        </is>
      </c>
      <c r="Z80" t="inlineStr">
        <is>
          <t>Standard response window (verified mechanics state no override)</t>
        </is>
      </c>
      <c r="AA80" t="inlineStr">
        <is>
          <t>Specific card overrides general rules</t>
        </is>
      </c>
      <c r="AB80" t="inlineStr">
        <is>
          <t>Indexed INWO Book, Groups section</t>
        </is>
      </c>
      <c r="AC80" t="inlineStr">
        <is>
          <t>FUNCTIONALLY COMPLETE</t>
        </is>
      </c>
      <c r="AE80" t="inlineStr">
        <is>
          <t>Indexed INWO Book / historical cross-check</t>
        </is>
      </c>
      <c r="AF80" t="inlineStr">
        <is>
          <t>EXACT EDGE POSITIONS VERIFIED</t>
        </is>
      </c>
      <c r="AG80" t="inlineStr">
        <is>
          <t>Verified from supplied original-card scan: Groups/INWO - International Communist Conspiracy.png. Triangle orientation establishes IN=TOP, OUT=BOTTOM, LEFT, RIGHT.</t>
        </is>
      </c>
      <c r="AH80" t="inlineStr">
        <is>
          <t>TOP</t>
        </is>
      </c>
      <c r="AI80" t="inlineStr">
        <is>
          <t>BOTTOM, LEFT, RIGHT</t>
        </is>
      </c>
      <c r="AJ80" t="inlineStr">
        <is>
          <t>VERIFIED</t>
        </is>
      </c>
      <c r="AK80" t="inlineStr">
        <is>
          <t>Verified from supplied original-card scan: Groups/INWO - International Communist Conspiracy.png. Triangle orientation establishes IN=TOP, OUT=BOTTOM, LEFT, RIGHT.</t>
        </is>
      </c>
    </row>
    <row r="81" ht="34" customHeight="1" s="16">
      <c r="A81" s="20" t="inlineStr">
        <is>
          <t>International Weather Organization</t>
        </is>
      </c>
      <c r="B81" s="20" t="inlineStr">
        <is>
          <t>Group</t>
        </is>
      </c>
      <c r="C81" s="20" t="inlineStr">
        <is>
          <t>Organization</t>
        </is>
      </c>
      <c r="D81" s="20" t="inlineStr">
        <is>
          <t>Uncommon</t>
        </is>
      </c>
      <c r="E81" s="20" t="inlineStr">
        <is>
          <t>1</t>
        </is>
      </c>
      <c r="F81" s="20" t="inlineStr">
        <is>
          <t>2</t>
        </is>
      </c>
      <c r="G81" s="20" t="inlineStr">
        <is>
          <t>Straight, Liberal</t>
        </is>
      </c>
      <c r="H81" s="20" t="inlineStr">
        <is>
          <t>Computer, Science</t>
        </is>
      </c>
      <c r="I81" s="20" t="inlineStr">
        <is>
          <t>Your Places get +6 against Disasters; non-Space Disasters you play against rival Places get +4.</t>
        </is>
      </c>
      <c r="J81" s="20" t="inlineStr">
        <is>
          <t>Needs rules-engine encoding</t>
        </is>
      </c>
      <c r="K81" s="20" t="inlineStr">
        <is>
          <t>High</t>
        </is>
      </c>
      <c r="L81" s="20" t="inlineStr">
        <is>
          <t>Mechanics and outgoing-arrow count checked against the printed card; described in our own words. Exact physical edge placement tracked separately.</t>
        </is>
      </c>
      <c r="M81" s="20" t="inlineStr">
        <is>
          <t>https://www.scribd.com/document/851089808/TheINWOBook</t>
        </is>
      </c>
      <c r="N81" t="inlineStr">
        <is>
          <t>Passive or activated special ability</t>
        </is>
      </c>
      <c r="O81" t="inlineStr">
        <is>
          <t>Per card ability</t>
        </is>
      </c>
      <c r="Q81" t="inlineStr">
        <is>
          <t>While controlled / per effect</t>
        </is>
      </c>
      <c r="R81" t="inlineStr">
        <is>
          <t>Your Places get +6 against Disasters; non-Space Disasters you play against rival Places get +4.</t>
        </is>
      </c>
      <c r="S81" t="inlineStr">
        <is>
          <t>NO</t>
        </is>
      </c>
      <c r="T81" t="inlineStr">
        <is>
          <t>1 incoming control arrow</t>
        </is>
      </c>
      <c r="U81" t="n">
        <v>3</v>
      </c>
      <c r="V81" t="inlineStr">
        <is>
          <t>N/A — INWO uses Plots instead of group income/money</t>
        </is>
      </c>
      <c r="W81" t="inlineStr">
        <is>
          <t>Standard: 1 action token (Illuminati: 1 Illuminati action); verified mechanics state no override</t>
        </is>
      </c>
      <c r="X81" t="inlineStr">
        <is>
          <t>One copy in play at a time; spare copies act as hidden agents vs. a rival's copy; a destroyed Group cannot be replayed unless a card returns it (base rule)</t>
        </is>
      </c>
      <c r="Y81" t="inlineStr">
        <is>
          <t>None beyond base rules (verified mechanics state no override)</t>
        </is>
      </c>
      <c r="Z81" t="inlineStr">
        <is>
          <t>Standard response window (verified mechanics state no override)</t>
        </is>
      </c>
      <c r="AA81" t="inlineStr">
        <is>
          <t>Specific card overrides general rules</t>
        </is>
      </c>
      <c r="AB81" t="inlineStr">
        <is>
          <t>Indexed INWO Book, Groups section</t>
        </is>
      </c>
      <c r="AC81" t="inlineStr">
        <is>
          <t>FUNCTIONALLY COMPLETE</t>
        </is>
      </c>
      <c r="AE81" t="inlineStr">
        <is>
          <t>Indexed INWO Book / historical cross-check</t>
        </is>
      </c>
      <c r="AF81" t="inlineStr">
        <is>
          <t>EXACT EDGE POSITIONS VERIFIED</t>
        </is>
      </c>
      <c r="AG81" t="inlineStr">
        <is>
          <t>Verified from supplied original-card scan: Groups/INWO - International Weather Organization.png. Triangle orientation establishes IN=TOP, OUT=BOTTOM, LEFT, RIGHT.</t>
        </is>
      </c>
      <c r="AH81" t="inlineStr">
        <is>
          <t>TOP</t>
        </is>
      </c>
      <c r="AI81" t="inlineStr">
        <is>
          <t>BOTTOM, LEFT, RIGHT</t>
        </is>
      </c>
      <c r="AJ81" t="inlineStr">
        <is>
          <t>VERIFIED</t>
        </is>
      </c>
      <c r="AK81" t="inlineStr">
        <is>
          <t>Verified from supplied original-card scan: Groups/INWO - International Weather Organization.png. Triangle orientation establishes IN=TOP, OUT=BOTTOM, LEFT, RIGHT.</t>
        </is>
      </c>
    </row>
    <row r="82" ht="34" customHeight="1" s="16">
      <c r="A82" s="20" t="inlineStr">
        <is>
          <t>I.R.S.</t>
        </is>
      </c>
      <c r="B82" s="20" t="inlineStr">
        <is>
          <t>Group</t>
        </is>
      </c>
      <c r="C82" s="20" t="inlineStr">
        <is>
          <t>Organization</t>
        </is>
      </c>
      <c r="D82" s="20" t="inlineStr">
        <is>
          <t>Uncommon</t>
        </is>
      </c>
      <c r="E82" s="20" t="inlineStr">
        <is>
          <t>5/3</t>
        </is>
      </c>
      <c r="F82" s="20" t="inlineStr">
        <is>
          <t>5</t>
        </is>
      </c>
      <c r="G82" s="20" t="inlineStr">
        <is>
          <t>Criminal, Government</t>
        </is>
      </c>
      <c r="H82" s="20" t="inlineStr">
        <is>
          <t>Bank</t>
        </is>
      </c>
      <c r="I82" s="20" t="inlineStr">
        <is>
          <t>At start of your turn, may take the top Plot from one rival's deck; rival sees it first. No action required.</t>
        </is>
      </c>
      <c r="J82" s="20" t="inlineStr">
        <is>
          <t>Needs rules-engine encoding</t>
        </is>
      </c>
      <c r="K82" s="20" t="inlineStr">
        <is>
          <t>High</t>
        </is>
      </c>
      <c r="L82" s="20" t="inlineStr">
        <is>
          <t>Mechanics and outgoing-arrow count checked against the printed card; described in our own words. Exact physical edge placement tracked separately.</t>
        </is>
      </c>
      <c r="M82" s="20" t="inlineStr">
        <is>
          <t>https://www.scribd.com/document/851089808/TheINWOBook</t>
        </is>
      </c>
      <c r="N82" t="inlineStr">
        <is>
          <t>Passive or activated special ability</t>
        </is>
      </c>
      <c r="O82" t="inlineStr">
        <is>
          <t>Per card ability</t>
        </is>
      </c>
      <c r="Q82" t="inlineStr">
        <is>
          <t>While controlled / per effect</t>
        </is>
      </c>
      <c r="R82" t="inlineStr">
        <is>
          <t>At start of your turn, may take the top Plot from one rival's deck; rival sees it first. No action required.</t>
        </is>
      </c>
      <c r="S82" t="inlineStr">
        <is>
          <t>NO</t>
        </is>
      </c>
      <c r="T82" t="inlineStr">
        <is>
          <t>1 incoming control arrow</t>
        </is>
      </c>
      <c r="U82" t="n">
        <v>2</v>
      </c>
      <c r="V82" t="inlineStr">
        <is>
          <t>N/A — INWO uses Plots instead of group income/money</t>
        </is>
      </c>
      <c r="W82" t="inlineStr">
        <is>
          <t>Standard: 1 action token (Illuminati: 1 Illuminati action); verified mechanics state no override</t>
        </is>
      </c>
      <c r="X82" t="inlineStr">
        <is>
          <t>One copy in play at a time; spare copies act as hidden agents vs. a rival's copy; a destroyed Group cannot be replayed unless a card returns it (base rule)</t>
        </is>
      </c>
      <c r="Y82" t="inlineStr">
        <is>
          <t>None beyond base rules (verified mechanics state no override)</t>
        </is>
      </c>
      <c r="Z82" t="inlineStr">
        <is>
          <t>Standard response window (verified mechanics state no override)</t>
        </is>
      </c>
      <c r="AA82" t="inlineStr">
        <is>
          <t>Specific card overrides general rules</t>
        </is>
      </c>
      <c r="AB82" t="inlineStr">
        <is>
          <t>Indexed INWO Book, Groups section</t>
        </is>
      </c>
      <c r="AC82" t="inlineStr">
        <is>
          <t>FUNCTIONALLY COMPLETE</t>
        </is>
      </c>
      <c r="AE82" t="inlineStr">
        <is>
          <t>Indexed INWO Book / historical cross-check</t>
        </is>
      </c>
      <c r="AF82" t="inlineStr">
        <is>
          <t>EXACT EDGE POSITIONS VERIFIED</t>
        </is>
      </c>
      <c r="AG82" t="inlineStr">
        <is>
          <t>Verified from supplied original-card scan: Groups/INWO - I.R.S..png. Triangle orientation establishes IN=TOP, OUT=LEFT, RIGHT.</t>
        </is>
      </c>
      <c r="AH82" t="inlineStr">
        <is>
          <t>TOP</t>
        </is>
      </c>
      <c r="AI82" t="inlineStr">
        <is>
          <t>LEFT, RIGHT</t>
        </is>
      </c>
      <c r="AJ82" t="inlineStr">
        <is>
          <t>VERIFIED</t>
        </is>
      </c>
      <c r="AK82" t="inlineStr">
        <is>
          <t>Verified from supplied original-card scan: Groups/INWO - I.R.S..png. Triangle orientation establishes IN=TOP, OUT=LEFT, RIGHT.</t>
        </is>
      </c>
    </row>
    <row r="83" ht="34" customHeight="1" s="16">
      <c r="A83" s="20" t="inlineStr">
        <is>
          <t>Joggers</t>
        </is>
      </c>
      <c r="B83" s="20" t="inlineStr">
        <is>
          <t>Group</t>
        </is>
      </c>
      <c r="C83" s="20" t="inlineStr">
        <is>
          <t>Organization</t>
        </is>
      </c>
      <c r="D83" s="20" t="inlineStr">
        <is>
          <t>Common</t>
        </is>
      </c>
      <c r="E83" s="20" t="inlineStr">
        <is>
          <t>1</t>
        </is>
      </c>
      <c r="F83" s="20" t="inlineStr">
        <is>
          <t>2</t>
        </is>
      </c>
      <c r="G83" s="20" t="inlineStr">
        <is>
          <t>None</t>
        </is>
      </c>
      <c r="H83" s="20" t="inlineStr">
        <is>
          <t>Green</t>
        </is>
      </c>
      <c r="I83" s="20" t="inlineStr">
        <is>
          <t>+2 to Assassinations; cannot be destroyed.</t>
        </is>
      </c>
      <c r="J83" s="20" t="inlineStr">
        <is>
          <t>Needs rules-engine encoding</t>
        </is>
      </c>
      <c r="K83" s="20" t="inlineStr">
        <is>
          <t>High</t>
        </is>
      </c>
      <c r="L83" s="20" t="inlineStr">
        <is>
          <t>Mechanics and outgoing-arrow count checked against the printed card; described in our own words. Exact physical edge placement tracked separately.</t>
        </is>
      </c>
      <c r="M83" s="20" t="inlineStr">
        <is>
          <t>https://www.scribd.com/document/851089808/TheINWOBook</t>
        </is>
      </c>
      <c r="N83" t="inlineStr">
        <is>
          <t>Passive or activated special ability</t>
        </is>
      </c>
      <c r="O83" t="inlineStr">
        <is>
          <t>Per card ability</t>
        </is>
      </c>
      <c r="Q83" t="inlineStr">
        <is>
          <t>While controlled / per effect</t>
        </is>
      </c>
      <c r="R83" t="inlineStr">
        <is>
          <t>+2 to Assassinations; cannot be destroyed.</t>
        </is>
      </c>
      <c r="S83" t="inlineStr">
        <is>
          <t>NO</t>
        </is>
      </c>
      <c r="T83" t="inlineStr">
        <is>
          <t>1 incoming control arrow</t>
        </is>
      </c>
      <c r="U83" t="n">
        <v>0</v>
      </c>
      <c r="V83" t="inlineStr">
        <is>
          <t>N/A — INWO uses Plots instead of group income/money</t>
        </is>
      </c>
      <c r="W83" t="inlineStr">
        <is>
          <t>Standard: 1 action token (Illuminati: 1 Illuminati action); verified mechanics state no override</t>
        </is>
      </c>
      <c r="X83" t="inlineStr">
        <is>
          <t>One copy in play at a time; spare copies act as hidden agents vs. a rival's copy; a destroyed Group cannot be replayed unless a card returns it (base rule)</t>
        </is>
      </c>
      <c r="Y83" t="inlineStr">
        <is>
          <t>None beyond base rules (verified mechanics state no override)</t>
        </is>
      </c>
      <c r="Z83" t="inlineStr">
        <is>
          <t>Standard response window (verified mechanics state no override)</t>
        </is>
      </c>
      <c r="AA83" t="inlineStr">
        <is>
          <t>Specific card overrides general rules</t>
        </is>
      </c>
      <c r="AB83" t="inlineStr">
        <is>
          <t>Indexed INWO Book, Groups section</t>
        </is>
      </c>
      <c r="AC83" t="inlineStr">
        <is>
          <t>FUNCTIONALLY COMPLETE</t>
        </is>
      </c>
      <c r="AE83" t="inlineStr">
        <is>
          <t>Indexed INWO Book / historical cross-check</t>
        </is>
      </c>
      <c r="AF83" t="inlineStr">
        <is>
          <t>EXACT EDGE POSITIONS VERIFIED</t>
        </is>
      </c>
      <c r="AG83" t="inlineStr">
        <is>
          <t>Verified from supplied original-card scan: Groups/INWO - Joggers.png. Triangle orientation establishes IN=TOP, OUT=NONE.</t>
        </is>
      </c>
      <c r="AH83" t="inlineStr">
        <is>
          <t>TOP</t>
        </is>
      </c>
      <c r="AI83" t="inlineStr">
        <is>
          <t>NONE</t>
        </is>
      </c>
      <c r="AJ83" t="inlineStr">
        <is>
          <t>VERIFIED</t>
        </is>
      </c>
      <c r="AK83" t="inlineStr">
        <is>
          <t>Verified from supplied original-card scan: Groups/INWO - Joggers.png. Triangle orientation establishes IN=TOP, OUT=NONE.</t>
        </is>
      </c>
    </row>
    <row r="84" ht="34" customHeight="1" s="16">
      <c r="A84" s="20" t="inlineStr">
        <is>
          <t>Junk Mail</t>
        </is>
      </c>
      <c r="B84" s="20" t="inlineStr">
        <is>
          <t>Group</t>
        </is>
      </c>
      <c r="C84" s="20" t="inlineStr">
        <is>
          <t>Organization</t>
        </is>
      </c>
      <c r="D84" s="20" t="inlineStr">
        <is>
          <t>Uncommon</t>
        </is>
      </c>
      <c r="E84" s="20" t="inlineStr">
        <is>
          <t>1/1</t>
        </is>
      </c>
      <c r="F84" s="20" t="inlineStr">
        <is>
          <t>3</t>
        </is>
      </c>
      <c r="G84" s="20" t="inlineStr">
        <is>
          <t>Corporate, Criminal</t>
        </is>
      </c>
      <c r="H84" s="20" t="inlineStr">
        <is>
          <t>Media</t>
        </is>
      </c>
      <c r="I84" s="20" t="inlineStr">
        <is>
          <t>May directly attack, aid, or oppose Secret groups; every attack of yours to take over a Secret group gets +6.</t>
        </is>
      </c>
      <c r="J84" s="20" t="inlineStr">
        <is>
          <t>Needs rules-engine encoding</t>
        </is>
      </c>
      <c r="K84" s="20" t="inlineStr">
        <is>
          <t>High</t>
        </is>
      </c>
      <c r="L84" s="20" t="inlineStr">
        <is>
          <t>Mechanics and outgoing-arrow count checked against the printed card; described in our own words. Exact physical edge placement tracked separately.</t>
        </is>
      </c>
      <c r="M84" s="20" t="inlineStr">
        <is>
          <t>https://www.scribd.com/document/851089808/TheINWOBook</t>
        </is>
      </c>
      <c r="N84" t="inlineStr">
        <is>
          <t>Passive or activated special ability</t>
        </is>
      </c>
      <c r="O84" t="inlineStr">
        <is>
          <t>Per card ability</t>
        </is>
      </c>
      <c r="Q84" t="inlineStr">
        <is>
          <t>While controlled / per effect</t>
        </is>
      </c>
      <c r="R84" t="inlineStr">
        <is>
          <t>May directly attack, aid, or oppose Secret groups; every attack of yours to take over a Secret group gets +6.</t>
        </is>
      </c>
      <c r="S84" t="inlineStr">
        <is>
          <t>NO</t>
        </is>
      </c>
      <c r="T84" t="inlineStr">
        <is>
          <t>1 incoming control arrow</t>
        </is>
      </c>
      <c r="U84" t="n">
        <v>1</v>
      </c>
      <c r="V84" t="inlineStr">
        <is>
          <t>N/A — INWO uses Plots instead of group income/money</t>
        </is>
      </c>
      <c r="W84" t="inlineStr">
        <is>
          <t>Standard: 1 action token (Illuminati: 1 Illuminati action); verified mechanics state no override</t>
        </is>
      </c>
      <c r="X84" t="inlineStr">
        <is>
          <t>One copy in play at a time; spare copies act as hidden agents vs. a rival's copy; a destroyed Group cannot be replayed unless a card returns it (base rule)</t>
        </is>
      </c>
      <c r="Y84" t="inlineStr">
        <is>
          <t>None beyond base rules (verified mechanics state no override)</t>
        </is>
      </c>
      <c r="Z84" t="inlineStr">
        <is>
          <t>Standard response window (verified mechanics state no override)</t>
        </is>
      </c>
      <c r="AA84" t="inlineStr">
        <is>
          <t>Specific card overrides general rules</t>
        </is>
      </c>
      <c r="AB84" t="inlineStr">
        <is>
          <t>Indexed INWO Book, Groups section</t>
        </is>
      </c>
      <c r="AC84" t="inlineStr">
        <is>
          <t>FUNCTIONALLY COMPLETE</t>
        </is>
      </c>
      <c r="AE84" t="inlineStr">
        <is>
          <t>Indexed INWO Book / historical cross-check</t>
        </is>
      </c>
      <c r="AF84" t="inlineStr">
        <is>
          <t>EXACT EDGE POSITIONS VERIFIED</t>
        </is>
      </c>
      <c r="AG84" t="inlineStr">
        <is>
          <t>Verified from supplied original-card scan: Groups/INWO - Junk Mail.png. Triangle orientation establishes IN=TOP, OUT=RIGHT.</t>
        </is>
      </c>
      <c r="AH84" t="inlineStr">
        <is>
          <t>TOP</t>
        </is>
      </c>
      <c r="AI84" t="inlineStr">
        <is>
          <t>RIGHT</t>
        </is>
      </c>
      <c r="AJ84" t="inlineStr">
        <is>
          <t>VERIFIED</t>
        </is>
      </c>
      <c r="AK84" t="inlineStr">
        <is>
          <t>Verified from supplied original-card scan: Groups/INWO - Junk Mail.png. Triangle orientation establishes IN=TOP, OUT=RIGHT.</t>
        </is>
      </c>
    </row>
    <row r="85" ht="34" customHeight="1" s="16">
      <c r="A85" s="20" t="inlineStr">
        <is>
          <t>KKK</t>
        </is>
      </c>
      <c r="B85" s="20" t="inlineStr">
        <is>
          <t>Group</t>
        </is>
      </c>
      <c r="C85" s="20" t="inlineStr">
        <is>
          <t>Organization</t>
        </is>
      </c>
      <c r="D85" s="20" t="inlineStr">
        <is>
          <t>Common</t>
        </is>
      </c>
      <c r="E85" s="20" t="inlineStr">
        <is>
          <t>2</t>
        </is>
      </c>
      <c r="F85" s="20" t="inlineStr">
        <is>
          <t>5</t>
        </is>
      </c>
      <c r="G85" s="20" t="inlineStr">
        <is>
          <t>Violent, Conservative</t>
        </is>
      </c>
      <c r="H85" s="20" t="str"/>
      <c r="I85" s="20" t="inlineStr">
        <is>
          <t>When it makes or aids an attack to destroy a Peaceful group, double the Power of all Violent groups on both sides of that attack.</t>
        </is>
      </c>
      <c r="J85" s="20" t="inlineStr">
        <is>
          <t>Needs rules-engine encoding</t>
        </is>
      </c>
      <c r="K85" s="20" t="inlineStr">
        <is>
          <t>High</t>
        </is>
      </c>
      <c r="L85" s="20" t="inlineStr">
        <is>
          <t>Mechanics and outgoing-arrow count checked against the printed card; described in our own words. Exact physical edge placement tracked separately.</t>
        </is>
      </c>
      <c r="M85" s="20" t="inlineStr">
        <is>
          <t>https://www.scribd.com/document/851089808/TheINWOBook</t>
        </is>
      </c>
      <c r="N85" t="inlineStr">
        <is>
          <t>Passive or activated special ability</t>
        </is>
      </c>
      <c r="O85" t="inlineStr">
        <is>
          <t>Per card ability</t>
        </is>
      </c>
      <c r="Q85" t="inlineStr">
        <is>
          <t>While controlled / per effect</t>
        </is>
      </c>
      <c r="R85" t="inlineStr">
        <is>
          <t>When it makes or aids an attack to destroy a Peaceful group, double the Power of all Violent groups on both sides of that attack.</t>
        </is>
      </c>
      <c r="S85" t="inlineStr">
        <is>
          <t>NO</t>
        </is>
      </c>
      <c r="T85" t="inlineStr">
        <is>
          <t>1 incoming control arrow</t>
        </is>
      </c>
      <c r="U85" t="n">
        <v>1</v>
      </c>
      <c r="V85" t="inlineStr">
        <is>
          <t>N/A — INWO uses Plots instead of group income/money</t>
        </is>
      </c>
      <c r="W85" t="inlineStr">
        <is>
          <t>Standard: 1 action token (Illuminati: 1 Illuminati action); verified mechanics state no override</t>
        </is>
      </c>
      <c r="X85" t="inlineStr">
        <is>
          <t>One copy in play at a time; spare copies act as hidden agents vs. a rival's copy; a destroyed Group cannot be replayed unless a card returns it (base rule)</t>
        </is>
      </c>
      <c r="Y85" t="inlineStr">
        <is>
          <t>None beyond base rules (verified mechanics state no override)</t>
        </is>
      </c>
      <c r="Z85" t="inlineStr">
        <is>
          <t>Standard response window (verified mechanics state no override)</t>
        </is>
      </c>
      <c r="AA85" t="inlineStr">
        <is>
          <t>Specific card overrides general rules</t>
        </is>
      </c>
      <c r="AB85" t="inlineStr">
        <is>
          <t>Indexed INWO Book, Groups section</t>
        </is>
      </c>
      <c r="AC85" t="inlineStr">
        <is>
          <t>FUNCTIONALLY COMPLETE</t>
        </is>
      </c>
      <c r="AE85" t="inlineStr">
        <is>
          <t>Indexed INWO Book / historical cross-check</t>
        </is>
      </c>
      <c r="AF85" t="inlineStr">
        <is>
          <t>EXACT EDGE POSITIONS VERIFIED</t>
        </is>
      </c>
      <c r="AG85" t="inlineStr">
        <is>
          <t>Verified from supplied original-card scan: Groups/INWO - KKK.png. Triangle orientation establishes IN=TOP, OUT=BOTTOM.</t>
        </is>
      </c>
      <c r="AH85" t="inlineStr">
        <is>
          <t>TOP</t>
        </is>
      </c>
      <c r="AI85" t="inlineStr">
        <is>
          <t>BOTTOM</t>
        </is>
      </c>
      <c r="AJ85" t="inlineStr">
        <is>
          <t>VERIFIED</t>
        </is>
      </c>
      <c r="AK85" t="inlineStr">
        <is>
          <t>Verified from supplied original-card scan: Groups/INWO - KKK.png. Triangle orientation establishes IN=TOP, OUT=BOTTOM.</t>
        </is>
      </c>
    </row>
    <row r="86" ht="34" customHeight="1" s="16">
      <c r="A86" s="20" t="inlineStr">
        <is>
          <t>L-4 Society</t>
        </is>
      </c>
      <c r="B86" s="20" t="inlineStr">
        <is>
          <t>Group</t>
        </is>
      </c>
      <c r="C86" s="20" t="inlineStr">
        <is>
          <t>Organization</t>
        </is>
      </c>
      <c r="D86" s="20" t="inlineStr">
        <is>
          <t>Uncommon</t>
        </is>
      </c>
      <c r="E86" s="20" t="inlineStr">
        <is>
          <t>1</t>
        </is>
      </c>
      <c r="F86" s="20" t="inlineStr">
        <is>
          <t>2</t>
        </is>
      </c>
      <c r="G86" s="20" t="inlineStr">
        <is>
          <t>Weird</t>
        </is>
      </c>
      <c r="H86" s="20" t="inlineStr">
        <is>
          <t>Space, Science</t>
        </is>
      </c>
      <c r="I86" s="20" t="inlineStr">
        <is>
          <t>+4 on any control or destruction attempt against a Science or Space group; +8 instead when it directly attacks to control a Space group.</t>
        </is>
      </c>
      <c r="J86" s="20" t="inlineStr">
        <is>
          <t>Needs rules-engine encoding</t>
        </is>
      </c>
      <c r="K86" s="20" t="inlineStr">
        <is>
          <t>High</t>
        </is>
      </c>
      <c r="L86" s="20" t="inlineStr">
        <is>
          <t>Mechanics and outgoing-arrow count checked against the printed card; described in our own words. Exact physical edge placement tracked separately.</t>
        </is>
      </c>
      <c r="M86" s="20" t="inlineStr">
        <is>
          <t>https://www.scribd.com/document/851089808/TheINWOBook</t>
        </is>
      </c>
      <c r="N86" t="inlineStr">
        <is>
          <t>Passive or activated special ability</t>
        </is>
      </c>
      <c r="O86" t="inlineStr">
        <is>
          <t>Per card ability</t>
        </is>
      </c>
      <c r="Q86" t="inlineStr">
        <is>
          <t>While controlled / per effect</t>
        </is>
      </c>
      <c r="R86" t="inlineStr">
        <is>
          <t>+4 on any control or destruction attempt against a Science or Space group; +8 instead when it directly attacks to control a Space group.</t>
        </is>
      </c>
      <c r="S86" t="inlineStr">
        <is>
          <t>NO</t>
        </is>
      </c>
      <c r="T86" t="inlineStr">
        <is>
          <t>1 incoming control arrow</t>
        </is>
      </c>
      <c r="U86" t="n">
        <v>1</v>
      </c>
      <c r="V86" t="inlineStr">
        <is>
          <t>N/A — INWO uses Plots instead of group income/money</t>
        </is>
      </c>
      <c r="W86" t="inlineStr">
        <is>
          <t>Standard: 1 action token (Illuminati: 1 Illuminati action); verified mechanics state no override</t>
        </is>
      </c>
      <c r="X86" t="inlineStr">
        <is>
          <t>One copy in play at a time; spare copies act as hidden agents vs. a rival's copy; a destroyed Group cannot be replayed unless a card returns it (base rule)</t>
        </is>
      </c>
      <c r="Y86" t="inlineStr">
        <is>
          <t>None beyond base rules (verified mechanics state no override)</t>
        </is>
      </c>
      <c r="Z86" t="inlineStr">
        <is>
          <t>Standard response window (verified mechanics state no override)</t>
        </is>
      </c>
      <c r="AA86" t="inlineStr">
        <is>
          <t>Specific card overrides general rules</t>
        </is>
      </c>
      <c r="AB86" t="inlineStr">
        <is>
          <t>Indexed INWO Book, Groups section</t>
        </is>
      </c>
      <c r="AC86" t="inlineStr">
        <is>
          <t>FUNCTIONALLY COMPLETE</t>
        </is>
      </c>
      <c r="AE86" t="inlineStr">
        <is>
          <t>Indexed INWO Book / historical cross-check</t>
        </is>
      </c>
      <c r="AF86" t="inlineStr">
        <is>
          <t>EXACT EDGE POSITIONS VERIFIED</t>
        </is>
      </c>
      <c r="AG86" t="inlineStr">
        <is>
          <t>Verified from supplied original-card scan: Groups/INWO - L-4 Society.png. Triangle orientation establishes IN=TOP, OUT=LEFT.</t>
        </is>
      </c>
      <c r="AH86" t="inlineStr">
        <is>
          <t>TOP</t>
        </is>
      </c>
      <c r="AI86" t="inlineStr">
        <is>
          <t>LEFT</t>
        </is>
      </c>
      <c r="AJ86" t="inlineStr">
        <is>
          <t>VERIFIED</t>
        </is>
      </c>
      <c r="AK86" t="inlineStr">
        <is>
          <t>Verified from supplied original-card scan: Groups/INWO - L-4 Society.png. Triangle orientation establishes IN=TOP, OUT=LEFT.</t>
        </is>
      </c>
    </row>
    <row r="87" ht="34" customHeight="1" s="16">
      <c r="A87" s="20" t="inlineStr">
        <is>
          <t>Lawyers</t>
        </is>
      </c>
      <c r="B87" s="20" t="inlineStr">
        <is>
          <t>Group</t>
        </is>
      </c>
      <c r="C87" s="20" t="inlineStr">
        <is>
          <t>Organization</t>
        </is>
      </c>
      <c r="D87" s="20" t="inlineStr">
        <is>
          <t>Common</t>
        </is>
      </c>
      <c r="E87" s="20" t="inlineStr">
        <is>
          <t>4/3</t>
        </is>
      </c>
      <c r="F87" s="20" t="inlineStr">
        <is>
          <t>1</t>
        </is>
      </c>
      <c r="G87" s="20" t="inlineStr">
        <is>
          <t>Criminal</t>
        </is>
      </c>
      <c r="H87" s="20" t="str"/>
      <c r="I87" s="20" t="inlineStr">
        <is>
          <t>Your Power Structure gets +4 defense against attacks made or aided by Government or Corporate groups; immune to the I.R.S. tax effect.</t>
        </is>
      </c>
      <c r="J87" s="20" t="inlineStr">
        <is>
          <t>Needs rules-engine encoding</t>
        </is>
      </c>
      <c r="K87" s="20" t="inlineStr">
        <is>
          <t>High</t>
        </is>
      </c>
      <c r="L87" s="20" t="inlineStr">
        <is>
          <t>Mechanics and outgoing-arrow count checked against the printed card; described in our own words. Exact physical edge placement tracked separately.</t>
        </is>
      </c>
      <c r="M87" s="20" t="inlineStr">
        <is>
          <t>https://www.scribd.com/document/851089808/TheINWOBook</t>
        </is>
      </c>
      <c r="N87" t="inlineStr">
        <is>
          <t>Passive or activated special ability</t>
        </is>
      </c>
      <c r="O87" t="inlineStr">
        <is>
          <t>Per card ability</t>
        </is>
      </c>
      <c r="Q87" t="inlineStr">
        <is>
          <t>While controlled / per effect</t>
        </is>
      </c>
      <c r="R87" t="inlineStr">
        <is>
          <t>Your Power Structure gets +4 defense against attacks made or aided by Government or Corporate groups; immune to the I.R.S. tax effect.</t>
        </is>
      </c>
      <c r="S87" t="inlineStr">
        <is>
          <t>NO</t>
        </is>
      </c>
      <c r="T87" t="inlineStr">
        <is>
          <t>1 incoming control arrow</t>
        </is>
      </c>
      <c r="U87" t="n">
        <v>2</v>
      </c>
      <c r="V87" t="inlineStr">
        <is>
          <t>N/A — INWO uses Plots instead of group income/money</t>
        </is>
      </c>
      <c r="W87" t="inlineStr">
        <is>
          <t>Standard: 1 action token (Illuminati: 1 Illuminati action); verified mechanics state no override</t>
        </is>
      </c>
      <c r="X87" t="inlineStr">
        <is>
          <t>One copy in play at a time; spare copies act as hidden agents vs. a rival's copy; a destroyed Group cannot be replayed unless a card returns it (base rule)</t>
        </is>
      </c>
      <c r="Y87" t="inlineStr">
        <is>
          <t>None beyond base rules (verified mechanics state no override)</t>
        </is>
      </c>
      <c r="Z87" t="inlineStr">
        <is>
          <t>Standard response window (verified mechanics state no override)</t>
        </is>
      </c>
      <c r="AA87" t="inlineStr">
        <is>
          <t>Specific card overrides general rules</t>
        </is>
      </c>
      <c r="AB87" t="inlineStr">
        <is>
          <t>Indexed INWO Book, Groups section</t>
        </is>
      </c>
      <c r="AC87" t="inlineStr">
        <is>
          <t>FUNCTIONALLY COMPLETE</t>
        </is>
      </c>
      <c r="AE87" t="inlineStr">
        <is>
          <t>Indexed INWO Book / historical cross-check</t>
        </is>
      </c>
      <c r="AF87" t="inlineStr">
        <is>
          <t>EXACT EDGE POSITIONS VERIFIED</t>
        </is>
      </c>
      <c r="AG87" t="inlineStr">
        <is>
          <t>Verified from supplied original-card scan: Groups/INWO - Lawyers.png. Triangle orientation establishes IN=TOP, OUT=BOTTOM, RIGHT.</t>
        </is>
      </c>
      <c r="AH87" t="inlineStr">
        <is>
          <t>TOP</t>
        </is>
      </c>
      <c r="AI87" t="inlineStr">
        <is>
          <t>BOTTOM, RIGHT</t>
        </is>
      </c>
      <c r="AJ87" t="inlineStr">
        <is>
          <t>VERIFIED</t>
        </is>
      </c>
      <c r="AK87" t="inlineStr">
        <is>
          <t>Verified from supplied original-card scan: Groups/INWO - Lawyers.png. Triangle orientation establishes IN=TOP, OUT=BOTTOM, RIGHT.</t>
        </is>
      </c>
    </row>
    <row r="88" ht="34" customHeight="1" s="16">
      <c r="A88" s="20" t="inlineStr">
        <is>
          <t>Libertarians</t>
        </is>
      </c>
      <c r="B88" s="20" t="inlineStr">
        <is>
          <t>Group</t>
        </is>
      </c>
      <c r="C88" s="20" t="inlineStr">
        <is>
          <t>Organization</t>
        </is>
      </c>
      <c r="D88" s="20" t="inlineStr">
        <is>
          <t>Rare</t>
        </is>
      </c>
      <c r="E88" s="20" t="inlineStr">
        <is>
          <t>1/1</t>
        </is>
      </c>
      <c r="F88" s="20" t="inlineStr">
        <is>
          <t>4</t>
        </is>
      </c>
      <c r="G88" s="20" t="inlineStr">
        <is>
          <t>Fanatic</t>
        </is>
      </c>
      <c r="H88" s="20" t="str"/>
      <c r="I88" s="20" t="inlineStr">
        <is>
          <t>When involved in taking a Group away from a Government master, doubles total attacking Power; if they take a Nation or U.S. state, their Power becomes that target's Power.</t>
        </is>
      </c>
      <c r="J88" s="20" t="inlineStr">
        <is>
          <t>Needs rules-engine encoding</t>
        </is>
      </c>
      <c r="K88" s="20" t="inlineStr">
        <is>
          <t>High</t>
        </is>
      </c>
      <c r="L88" s="20" t="inlineStr">
        <is>
          <t>Mechanics and outgoing-arrow count checked against the printed card; described in our own words. Exact physical edge placement tracked separately.</t>
        </is>
      </c>
      <c r="M88" s="20" t="inlineStr">
        <is>
          <t>https://www.scribd.com/document/851089808/TheINWOBook</t>
        </is>
      </c>
      <c r="N88" t="inlineStr">
        <is>
          <t>Passive or activated special ability</t>
        </is>
      </c>
      <c r="O88" t="inlineStr">
        <is>
          <t>Per card ability</t>
        </is>
      </c>
      <c r="Q88" t="inlineStr">
        <is>
          <t>While controlled / per effect</t>
        </is>
      </c>
      <c r="R88" t="inlineStr">
        <is>
          <t>When involved in taking a Group away from a Government master, doubles total attacking Power; if they take a Nation or U.S. state, their Power becomes that target's Power.</t>
        </is>
      </c>
      <c r="S88" t="inlineStr">
        <is>
          <t>NO</t>
        </is>
      </c>
      <c r="T88" t="inlineStr">
        <is>
          <t>1 incoming control arrow</t>
        </is>
      </c>
      <c r="U88" t="n">
        <v>1</v>
      </c>
      <c r="V88" t="inlineStr">
        <is>
          <t>N/A — INWO uses Plots instead of group income/money</t>
        </is>
      </c>
      <c r="W88" t="inlineStr">
        <is>
          <t>Standard: 1 action token (Illuminati: 1 Illuminati action); verified mechanics state no override</t>
        </is>
      </c>
      <c r="X88" t="inlineStr">
        <is>
          <t>One copy in play at a time; spare copies act as hidden agents vs. a rival's copy; a destroyed Group cannot be replayed unless a card returns it (base rule)</t>
        </is>
      </c>
      <c r="Y88" t="inlineStr">
        <is>
          <t>None beyond base rules (verified mechanics state no override)</t>
        </is>
      </c>
      <c r="Z88" t="inlineStr">
        <is>
          <t>Standard response window (verified mechanics state no override)</t>
        </is>
      </c>
      <c r="AA88" t="inlineStr">
        <is>
          <t>Specific card overrides general rules</t>
        </is>
      </c>
      <c r="AB88" t="inlineStr">
        <is>
          <t>Indexed INWO Book, Groups section</t>
        </is>
      </c>
      <c r="AC88" t="inlineStr">
        <is>
          <t>FUNCTIONALLY COMPLETE</t>
        </is>
      </c>
      <c r="AE88" t="inlineStr">
        <is>
          <t>Indexed INWO Book / historical cross-check</t>
        </is>
      </c>
      <c r="AF88" t="inlineStr">
        <is>
          <t>EXACT EDGE POSITIONS VERIFIED</t>
        </is>
      </c>
      <c r="AG88" t="inlineStr">
        <is>
          <t>Verified from supplied original-card scan: Groups/INWO - Libertarians.png. Triangle orientation establishes IN=TOP, OUT=LEFT.</t>
        </is>
      </c>
      <c r="AH88" t="inlineStr">
        <is>
          <t>TOP</t>
        </is>
      </c>
      <c r="AI88" t="inlineStr">
        <is>
          <t>LEFT</t>
        </is>
      </c>
      <c r="AJ88" t="inlineStr">
        <is>
          <t>VERIFIED</t>
        </is>
      </c>
      <c r="AK88" t="inlineStr">
        <is>
          <t>Verified from supplied original-card scan: Groups/INWO - Libertarians.png. Triangle orientation establishes IN=TOP, OUT=LEFT.</t>
        </is>
      </c>
    </row>
    <row r="89" ht="34" customHeight="1" s="16">
      <c r="A89" s="20" t="inlineStr">
        <is>
          <t>Liquor Companies</t>
        </is>
      </c>
      <c r="B89" s="20" t="inlineStr">
        <is>
          <t>Group</t>
        </is>
      </c>
      <c r="C89" s="20" t="inlineStr">
        <is>
          <t>Organization</t>
        </is>
      </c>
      <c r="D89" s="20" t="inlineStr">
        <is>
          <t>Rare</t>
        </is>
      </c>
      <c r="E89" s="20" t="inlineStr">
        <is>
          <t>3</t>
        </is>
      </c>
      <c r="F89" s="20" t="inlineStr">
        <is>
          <t>1</t>
        </is>
      </c>
      <c r="G89" s="20" t="inlineStr">
        <is>
          <t>Corporate</t>
        </is>
      </c>
      <c r="H89" s="20" t="str"/>
      <c r="I89" s="20" t="inlineStr">
        <is>
          <t>+4 direct control of Media; as an action may cancel one rival card-draw opportunity.</t>
        </is>
      </c>
      <c r="J89" s="20" t="inlineStr">
        <is>
          <t>Needs rules-engine encoding</t>
        </is>
      </c>
      <c r="K89" s="20" t="inlineStr">
        <is>
          <t>High</t>
        </is>
      </c>
      <c r="L89" s="20" t="inlineStr">
        <is>
          <t>Mechanics and outgoing-arrow count checked against the printed card; described in our own words. Exact physical edge placement tracked separately.</t>
        </is>
      </c>
      <c r="M89" s="20" t="inlineStr">
        <is>
          <t>https://www.scribd.com/document/851089808/TheINWOBook</t>
        </is>
      </c>
      <c r="N89" t="inlineStr">
        <is>
          <t>Passive or activated special ability</t>
        </is>
      </c>
      <c r="O89" t="inlineStr">
        <is>
          <t>Per card ability</t>
        </is>
      </c>
      <c r="Q89" t="inlineStr">
        <is>
          <t>While controlled / per effect</t>
        </is>
      </c>
      <c r="R89" t="inlineStr">
        <is>
          <t>+4 direct control of Media; as an action may cancel one rival card-draw opportunity.</t>
        </is>
      </c>
      <c r="S89" t="inlineStr">
        <is>
          <t>NO</t>
        </is>
      </c>
      <c r="T89" t="inlineStr">
        <is>
          <t>1 incoming control arrow</t>
        </is>
      </c>
      <c r="U89" t="n">
        <v>2</v>
      </c>
      <c r="V89" t="inlineStr">
        <is>
          <t>N/A — INWO uses Plots instead of group income/money</t>
        </is>
      </c>
      <c r="W89" t="inlineStr">
        <is>
          <t>Standard: 1 action token (Illuminati: 1 Illuminati action); verified mechanics state no override</t>
        </is>
      </c>
      <c r="X89" t="inlineStr">
        <is>
          <t>One copy in play at a time; spare copies act as hidden agents vs. a rival's copy; a destroyed Group cannot be replayed unless a card returns it (base rule)</t>
        </is>
      </c>
      <c r="Y89" t="inlineStr">
        <is>
          <t>None beyond base rules (verified mechanics state no override)</t>
        </is>
      </c>
      <c r="Z89" t="inlineStr">
        <is>
          <t>Standard response window (verified mechanics state no override)</t>
        </is>
      </c>
      <c r="AA89" t="inlineStr">
        <is>
          <t>Specific card overrides general rules</t>
        </is>
      </c>
      <c r="AB89" t="inlineStr">
        <is>
          <t>Indexed INWO Book, Groups section</t>
        </is>
      </c>
      <c r="AC89" t="inlineStr">
        <is>
          <t>FUNCTIONALLY COMPLETE</t>
        </is>
      </c>
      <c r="AE89" t="inlineStr">
        <is>
          <t>Indexed INWO Book / historical cross-check</t>
        </is>
      </c>
      <c r="AF89" t="inlineStr">
        <is>
          <t>EXACT EDGE POSITIONS VERIFIED</t>
        </is>
      </c>
      <c r="AG89" t="inlineStr">
        <is>
          <t>Verified from supplied original-card scan: Groups/INWO - Liquor Companies.png. Triangle orientation establishes IN=TOP, OUT=BOTTOM, LEFT.</t>
        </is>
      </c>
      <c r="AH89" t="inlineStr">
        <is>
          <t>TOP</t>
        </is>
      </c>
      <c r="AI89" t="inlineStr">
        <is>
          <t>BOTTOM, LEFT</t>
        </is>
      </c>
      <c r="AJ89" t="inlineStr">
        <is>
          <t>VERIFIED</t>
        </is>
      </c>
      <c r="AK89" t="inlineStr">
        <is>
          <t>Verified from supplied original-card scan: Groups/INWO - Liquor Companies.png. Triangle orientation establishes IN=TOP, OUT=BOTTOM, LEFT.</t>
        </is>
      </c>
    </row>
    <row r="90" ht="34" customHeight="1" s="16">
      <c r="A90" s="20" t="inlineStr">
        <is>
          <t>Loan Sharks</t>
        </is>
      </c>
      <c r="B90" s="20" t="inlineStr">
        <is>
          <t>Group</t>
        </is>
      </c>
      <c r="C90" s="20" t="inlineStr">
        <is>
          <t>Organization</t>
        </is>
      </c>
      <c r="D90" s="20" t="inlineStr">
        <is>
          <t>Common</t>
        </is>
      </c>
      <c r="E90" s="20" t="inlineStr">
        <is>
          <t>3</t>
        </is>
      </c>
      <c r="F90" s="20" t="inlineStr">
        <is>
          <t>5</t>
        </is>
      </c>
      <c r="G90" s="20" t="inlineStr">
        <is>
          <t>Violent, Criminal</t>
        </is>
      </c>
      <c r="H90" s="20" t="str"/>
      <c r="I90" s="20" t="inlineStr">
        <is>
          <t>+1 Power for each other Criminal group you control.</t>
        </is>
      </c>
      <c r="J90" s="20" t="inlineStr">
        <is>
          <t>Needs rules-engine encoding</t>
        </is>
      </c>
      <c r="K90" s="20" t="inlineStr">
        <is>
          <t>High</t>
        </is>
      </c>
      <c r="L90" s="20" t="inlineStr">
        <is>
          <t>Mechanics and outgoing-arrow count checked against the printed card; described in our own words. Exact physical edge placement tracked separately.</t>
        </is>
      </c>
      <c r="M90" s="20" t="inlineStr">
        <is>
          <t>https://www.scribd.com/document/851089808/TheINWOBook</t>
        </is>
      </c>
      <c r="N90" t="inlineStr">
        <is>
          <t>Passive or activated special ability</t>
        </is>
      </c>
      <c r="O90" t="inlineStr">
        <is>
          <t>Per card ability</t>
        </is>
      </c>
      <c r="Q90" t="inlineStr">
        <is>
          <t>While controlled / per effect</t>
        </is>
      </c>
      <c r="R90" t="inlineStr">
        <is>
          <t>+1 Power for each other Criminal group you control.</t>
        </is>
      </c>
      <c r="S90" t="inlineStr">
        <is>
          <t>NO</t>
        </is>
      </c>
      <c r="T90" t="inlineStr">
        <is>
          <t>1 incoming control arrow</t>
        </is>
      </c>
      <c r="U90" t="n">
        <v>2</v>
      </c>
      <c r="V90" t="inlineStr">
        <is>
          <t>N/A — INWO uses Plots instead of group income/money</t>
        </is>
      </c>
      <c r="W90" t="inlineStr">
        <is>
          <t>Standard: 1 action token (Illuminati: 1 Illuminati action); verified mechanics state no override</t>
        </is>
      </c>
      <c r="X90" t="inlineStr">
        <is>
          <t>One copy in play at a time; spare copies act as hidden agents vs. a rival's copy; a destroyed Group cannot be replayed unless a card returns it (base rule)</t>
        </is>
      </c>
      <c r="Y90" t="inlineStr">
        <is>
          <t>None beyond base rules (verified mechanics state no override)</t>
        </is>
      </c>
      <c r="Z90" t="inlineStr">
        <is>
          <t>Standard response window (verified mechanics state no override)</t>
        </is>
      </c>
      <c r="AA90" t="inlineStr">
        <is>
          <t>Specific card overrides general rules</t>
        </is>
      </c>
      <c r="AB90" t="inlineStr">
        <is>
          <t>Indexed INWO Book, Groups section</t>
        </is>
      </c>
      <c r="AC90" t="inlineStr">
        <is>
          <t>FUNCTIONALLY COMPLETE</t>
        </is>
      </c>
      <c r="AE90" t="inlineStr">
        <is>
          <t>Indexed INWO Book / historical cross-check</t>
        </is>
      </c>
      <c r="AF90" t="inlineStr">
        <is>
          <t>EXACT EDGE POSITIONS VERIFIED</t>
        </is>
      </c>
      <c r="AG90" t="inlineStr">
        <is>
          <t>Verified from supplied original-card scan: Groups/INWO - Loan Sharks.png. Triangle orientation establishes IN=TOP, OUT=LEFT, RIGHT.</t>
        </is>
      </c>
      <c r="AH90" t="inlineStr">
        <is>
          <t>TOP</t>
        </is>
      </c>
      <c r="AI90" t="inlineStr">
        <is>
          <t>LEFT, RIGHT</t>
        </is>
      </c>
      <c r="AJ90" t="inlineStr">
        <is>
          <t>VERIFIED</t>
        </is>
      </c>
      <c r="AK90" t="inlineStr">
        <is>
          <t>Verified from supplied original-card scan: Groups/INWO - Loan Sharks.png. Triangle orientation establishes IN=TOP, OUT=LEFT, RIGHT.</t>
        </is>
      </c>
    </row>
    <row r="91" ht="34" customHeight="1" s="16">
      <c r="A91" s="20" t="inlineStr">
        <is>
          <t>Local Police Departments</t>
        </is>
      </c>
      <c r="B91" s="20" t="inlineStr">
        <is>
          <t>Group</t>
        </is>
      </c>
      <c r="C91" s="20" t="inlineStr">
        <is>
          <t>Organization</t>
        </is>
      </c>
      <c r="D91" s="20" t="inlineStr">
        <is>
          <t>Uncommon</t>
        </is>
      </c>
      <c r="E91" s="20" t="inlineStr">
        <is>
          <t>1</t>
        </is>
      </c>
      <c r="F91" s="20" t="inlineStr">
        <is>
          <t>4</t>
        </is>
      </c>
      <c r="G91" s="20" t="inlineStr">
        <is>
          <t>Straight, Violent, Conservative</t>
        </is>
      </c>
      <c r="H91" s="20" t="str"/>
      <c r="I91" s="20" t="inlineStr">
        <is>
          <t>+4 on any destruction attempt against a Criminal group; master gets +1 Power and +3 Resistance; Local Police cannot be destroyed.</t>
        </is>
      </c>
      <c r="J91" s="20" t="inlineStr">
        <is>
          <t>Needs rules-engine encoding</t>
        </is>
      </c>
      <c r="K91" s="20" t="inlineStr">
        <is>
          <t>High</t>
        </is>
      </c>
      <c r="L91" s="20" t="inlineStr">
        <is>
          <t>Mechanics and outgoing-arrow count checked against the printed card; described in our own words. Exact physical edge placement tracked separately.</t>
        </is>
      </c>
      <c r="M91" s="20" t="inlineStr">
        <is>
          <t>https://www.scribd.com/document/851089808/TheINWOBook</t>
        </is>
      </c>
      <c r="N91" t="inlineStr">
        <is>
          <t>Passive or activated special ability</t>
        </is>
      </c>
      <c r="O91" t="inlineStr">
        <is>
          <t>Per card ability</t>
        </is>
      </c>
      <c r="Q91" t="inlineStr">
        <is>
          <t>While controlled / per effect</t>
        </is>
      </c>
      <c r="R91" t="inlineStr">
        <is>
          <t>+4 on any destruction attempt against a Criminal group; master gets +1 Power and +3 Resistance; Local Police cannot be destroyed.</t>
        </is>
      </c>
      <c r="S91" t="inlineStr">
        <is>
          <t>NO</t>
        </is>
      </c>
      <c r="T91" t="inlineStr">
        <is>
          <t>1 incoming control arrow</t>
        </is>
      </c>
      <c r="U91" t="n">
        <v>0</v>
      </c>
      <c r="V91" t="inlineStr">
        <is>
          <t>N/A — INWO uses Plots instead of group income/money</t>
        </is>
      </c>
      <c r="W91" t="inlineStr">
        <is>
          <t>Standard: 1 action token (Illuminati: 1 Illuminati action); verified mechanics state no override</t>
        </is>
      </c>
      <c r="X91" t="inlineStr">
        <is>
          <t>One copy in play at a time; spare copies act as hidden agents vs. a rival's copy; a destroyed Group cannot be replayed unless a card returns it (base rule)</t>
        </is>
      </c>
      <c r="Y91" t="inlineStr">
        <is>
          <t>None beyond base rules (verified mechanics state no override)</t>
        </is>
      </c>
      <c r="Z91" t="inlineStr">
        <is>
          <t>Standard response window (verified mechanics state no override)</t>
        </is>
      </c>
      <c r="AA91" t="inlineStr">
        <is>
          <t>Specific card overrides general rules</t>
        </is>
      </c>
      <c r="AB91" t="inlineStr">
        <is>
          <t>Indexed INWO Book, Groups section</t>
        </is>
      </c>
      <c r="AC91" t="inlineStr">
        <is>
          <t>FUNCTIONALLY COMPLETE</t>
        </is>
      </c>
      <c r="AE91" t="inlineStr">
        <is>
          <t>Indexed INWO Book / historical cross-check</t>
        </is>
      </c>
      <c r="AF91" t="inlineStr">
        <is>
          <t>EXACT EDGE POSITIONS VERIFIED</t>
        </is>
      </c>
      <c r="AG91" t="inlineStr">
        <is>
          <t>Verified from supplied original-card scan: Groups/INWO - Local Police Departments.png. Triangle orientation establishes IN=TOP, OUT=NONE.</t>
        </is>
      </c>
      <c r="AH91" t="inlineStr">
        <is>
          <t>TOP</t>
        </is>
      </c>
      <c r="AI91" t="inlineStr">
        <is>
          <t>NONE</t>
        </is>
      </c>
      <c r="AJ91" t="inlineStr">
        <is>
          <t>VERIFIED</t>
        </is>
      </c>
      <c r="AK91" t="inlineStr">
        <is>
          <t>Verified from supplied original-card scan: Groups/INWO - Local Police Departments.png. Triangle orientation establishes IN=TOP, OUT=NONE.</t>
        </is>
      </c>
    </row>
    <row r="92" ht="34" customHeight="1" s="16">
      <c r="A92" s="20" t="inlineStr">
        <is>
          <t>Madison Avenue</t>
        </is>
      </c>
      <c r="B92" s="20" t="inlineStr">
        <is>
          <t>Group</t>
        </is>
      </c>
      <c r="C92" s="20" t="inlineStr">
        <is>
          <t>Organization</t>
        </is>
      </c>
      <c r="D92" s="20" t="inlineStr">
        <is>
          <t>Common</t>
        </is>
      </c>
      <c r="E92" s="20" t="inlineStr">
        <is>
          <t>3/3</t>
        </is>
      </c>
      <c r="F92" s="20" t="inlineStr">
        <is>
          <t>3</t>
        </is>
      </c>
      <c r="G92" s="20" t="inlineStr">
        <is>
          <t>Corporate</t>
        </is>
      </c>
      <c r="H92" s="20" t="inlineStr">
        <is>
          <t>Media</t>
        </is>
      </c>
      <c r="I92" s="20" t="inlineStr">
        <is>
          <t>+10 direct control of Media; +2 on any control or destruction attempt against Media.</t>
        </is>
      </c>
      <c r="J92" s="20" t="inlineStr">
        <is>
          <t>Needs rules-engine encoding</t>
        </is>
      </c>
      <c r="K92" s="20" t="inlineStr">
        <is>
          <t>High</t>
        </is>
      </c>
      <c r="L92" s="20" t="inlineStr">
        <is>
          <t>Mechanics and outgoing-arrow count checked against the printed card; described in our own words. Exact physical edge placement tracked separately.</t>
        </is>
      </c>
      <c r="M92" s="20" t="inlineStr">
        <is>
          <t>https://www.scribd.com/document/851089808/TheINWOBook</t>
        </is>
      </c>
      <c r="N92" t="inlineStr">
        <is>
          <t>Passive or activated special ability</t>
        </is>
      </c>
      <c r="O92" t="inlineStr">
        <is>
          <t>Per card ability</t>
        </is>
      </c>
      <c r="Q92" t="inlineStr">
        <is>
          <t>While controlled / per effect</t>
        </is>
      </c>
      <c r="R92" t="inlineStr">
        <is>
          <t>+10 direct control of Media; +2 on any control or destruction attempt against Media.</t>
        </is>
      </c>
      <c r="S92" t="inlineStr">
        <is>
          <t>NO</t>
        </is>
      </c>
      <c r="T92" t="inlineStr">
        <is>
          <t>1 incoming control arrow</t>
        </is>
      </c>
      <c r="U92" t="n">
        <v>2</v>
      </c>
      <c r="V92" t="inlineStr">
        <is>
          <t>N/A — INWO uses Plots instead of group income/money</t>
        </is>
      </c>
      <c r="W92" t="inlineStr">
        <is>
          <t>Standard: 1 action token (Illuminati: 1 Illuminati action); verified mechanics state no override</t>
        </is>
      </c>
      <c r="X92" t="inlineStr">
        <is>
          <t>One copy in play at a time; spare copies act as hidden agents vs. a rival's copy; a destroyed Group cannot be replayed unless a card returns it (base rule)</t>
        </is>
      </c>
      <c r="Y92" t="inlineStr">
        <is>
          <t>None beyond base rules (verified mechanics state no override)</t>
        </is>
      </c>
      <c r="Z92" t="inlineStr">
        <is>
          <t>Standard response window (verified mechanics state no override)</t>
        </is>
      </c>
      <c r="AA92" t="inlineStr">
        <is>
          <t>Specific card overrides general rules</t>
        </is>
      </c>
      <c r="AB92" t="inlineStr">
        <is>
          <t>Indexed INWO Book, Groups section</t>
        </is>
      </c>
      <c r="AC92" t="inlineStr">
        <is>
          <t>FUNCTIONALLY COMPLETE</t>
        </is>
      </c>
      <c r="AE92" t="inlineStr">
        <is>
          <t>Indexed INWO Book / historical cross-check</t>
        </is>
      </c>
      <c r="AF92" t="inlineStr">
        <is>
          <t>EXACT EDGE POSITIONS VERIFIED</t>
        </is>
      </c>
      <c r="AG92" t="inlineStr">
        <is>
          <t>Verified from supplied original-card scan: Groups/INWO - Madison Avenue.png. Triangle orientation establishes IN=BOTTOM, OUT=TOP, LEFT.</t>
        </is>
      </c>
      <c r="AH92" t="inlineStr">
        <is>
          <t>BOTTOM</t>
        </is>
      </c>
      <c r="AI92" t="inlineStr">
        <is>
          <t>TOP, LEFT</t>
        </is>
      </c>
      <c r="AJ92" t="inlineStr">
        <is>
          <t>VERIFIED</t>
        </is>
      </c>
      <c r="AK92" t="inlineStr">
        <is>
          <t>Verified from supplied original-card scan: Groups/INWO - Madison Avenue.png. Triangle orientation establishes IN=BOTTOM, OUT=TOP, LEFT.</t>
        </is>
      </c>
    </row>
    <row r="93" ht="34" customHeight="1" s="16">
      <c r="A93" s="20" t="inlineStr">
        <is>
          <t>MI-5</t>
        </is>
      </c>
      <c r="B93" s="20" t="inlineStr">
        <is>
          <t>Group</t>
        </is>
      </c>
      <c r="C93" s="20" t="inlineStr">
        <is>
          <t>Organization</t>
        </is>
      </c>
      <c r="D93" s="20" t="inlineStr">
        <is>
          <t>Uncommon</t>
        </is>
      </c>
      <c r="E93" s="20" t="inlineStr">
        <is>
          <t>2/1</t>
        </is>
      </c>
      <c r="F93" s="20" t="inlineStr">
        <is>
          <t>5</t>
        </is>
      </c>
      <c r="G93" s="20" t="inlineStr">
        <is>
          <t>Straight, Government</t>
        </is>
      </c>
      <c r="H93" s="20" t="str"/>
      <c r="I93" s="20" t="inlineStr">
        <is>
          <t>As an action, either negate an attempt to expose your Plots or turn all your exposed Plots face down.</t>
        </is>
      </c>
      <c r="J93" s="20" t="inlineStr">
        <is>
          <t>Needs rules-engine encoding</t>
        </is>
      </c>
      <c r="K93" s="20" t="inlineStr">
        <is>
          <t>High</t>
        </is>
      </c>
      <c r="L93" s="20" t="inlineStr">
        <is>
          <t>Mechanics and outgoing-arrow count checked against the printed card; described in our own words. Exact physical edge placement tracked separately.</t>
        </is>
      </c>
      <c r="M93" s="20" t="inlineStr">
        <is>
          <t>https://www.scribd.com/document/851089808/TheINWOBook</t>
        </is>
      </c>
      <c r="N93" t="inlineStr">
        <is>
          <t>Passive or activated special ability</t>
        </is>
      </c>
      <c r="O93" t="inlineStr">
        <is>
          <t>Per card ability</t>
        </is>
      </c>
      <c r="Q93" t="inlineStr">
        <is>
          <t>While controlled / per effect</t>
        </is>
      </c>
      <c r="R93" t="inlineStr">
        <is>
          <t>As an action, either negate an attempt to expose your Plots or turn all your exposed Plots face down.</t>
        </is>
      </c>
      <c r="S93" t="inlineStr">
        <is>
          <t>NO</t>
        </is>
      </c>
      <c r="T93" t="inlineStr">
        <is>
          <t>1 incoming control arrow</t>
        </is>
      </c>
      <c r="U93" t="n">
        <v>1</v>
      </c>
      <c r="V93" t="inlineStr">
        <is>
          <t>N/A — INWO uses Plots instead of group income/money</t>
        </is>
      </c>
      <c r="W93" t="inlineStr">
        <is>
          <t>Standard: 1 action token (Illuminati: 1 Illuminati action); verified mechanics state no override</t>
        </is>
      </c>
      <c r="X93" t="inlineStr">
        <is>
          <t>One copy in play at a time; spare copies act as hidden agents vs. a rival's copy; a destroyed Group cannot be replayed unless a card returns it (base rule)</t>
        </is>
      </c>
      <c r="Y93" t="inlineStr">
        <is>
          <t>None beyond base rules (verified mechanics state no override)</t>
        </is>
      </c>
      <c r="Z93" t="inlineStr">
        <is>
          <t>Standard response window (verified mechanics state no override)</t>
        </is>
      </c>
      <c r="AA93" t="inlineStr">
        <is>
          <t>Specific card overrides general rules</t>
        </is>
      </c>
      <c r="AB93" t="inlineStr">
        <is>
          <t>Indexed INWO Book, Groups section</t>
        </is>
      </c>
      <c r="AC93" t="inlineStr">
        <is>
          <t>FUNCTIONALLY COMPLETE</t>
        </is>
      </c>
      <c r="AE93" t="inlineStr">
        <is>
          <t>Indexed INWO Book / historical cross-check</t>
        </is>
      </c>
      <c r="AF93" t="inlineStr">
        <is>
          <t>EXACT EDGE POSITIONS VERIFIED</t>
        </is>
      </c>
      <c r="AG93" t="inlineStr">
        <is>
          <t>Verified from supplied original-card scan: Groups/INWO - MI-5.png. Triangle orientation establishes IN=BOTTOM, OUT=TOP.</t>
        </is>
      </c>
      <c r="AH93" t="inlineStr">
        <is>
          <t>BOTTOM</t>
        </is>
      </c>
      <c r="AI93" t="inlineStr">
        <is>
          <t>TOP</t>
        </is>
      </c>
      <c r="AJ93" t="inlineStr">
        <is>
          <t>VERIFIED</t>
        </is>
      </c>
      <c r="AK93" t="inlineStr">
        <is>
          <t>Verified from supplied original-card scan: Groups/INWO - MI-5.png. Triangle orientation establishes IN=BOTTOM, OUT=TOP.</t>
        </is>
      </c>
    </row>
    <row r="94" ht="34" customHeight="1" s="16">
      <c r="A94" s="20" t="inlineStr">
        <is>
          <t>Moonies</t>
        </is>
      </c>
      <c r="B94" s="20" t="inlineStr">
        <is>
          <t>Group</t>
        </is>
      </c>
      <c r="C94" s="20" t="inlineStr">
        <is>
          <t>Organization</t>
        </is>
      </c>
      <c r="D94" s="20" t="inlineStr">
        <is>
          <t>Common</t>
        </is>
      </c>
      <c r="E94" s="20" t="inlineStr">
        <is>
          <t>2/2</t>
        </is>
      </c>
      <c r="F94" s="20" t="inlineStr">
        <is>
          <t>4</t>
        </is>
      </c>
      <c r="G94" s="20" t="inlineStr">
        <is>
          <t>Peaceful, Fanatic</t>
        </is>
      </c>
      <c r="H94" s="20" t="str"/>
      <c r="I94" s="20" t="inlineStr">
        <is>
          <t>As an action, may interfere in a privileged attack on either side regardless of alignments, ending the privilege.</t>
        </is>
      </c>
      <c r="J94" s="20" t="inlineStr">
        <is>
          <t>Needs rules-engine encoding</t>
        </is>
      </c>
      <c r="K94" s="20" t="inlineStr">
        <is>
          <t>High</t>
        </is>
      </c>
      <c r="L94" s="20" t="inlineStr">
        <is>
          <t>Mechanics and outgoing-arrow count checked against the printed card; described in our own words. Exact physical edge placement tracked separately.</t>
        </is>
      </c>
      <c r="M94" s="20" t="inlineStr">
        <is>
          <t>https://www.scribd.com/document/851089808/TheINWOBook</t>
        </is>
      </c>
      <c r="N94" t="inlineStr">
        <is>
          <t>Passive or activated special ability</t>
        </is>
      </c>
      <c r="O94" t="inlineStr">
        <is>
          <t>Per card ability</t>
        </is>
      </c>
      <c r="Q94" t="inlineStr">
        <is>
          <t>While controlled / per effect</t>
        </is>
      </c>
      <c r="R94" t="inlineStr">
        <is>
          <t>As an action, may interfere in a privileged attack on either side regardless of alignments, ending the privilege.</t>
        </is>
      </c>
      <c r="S94" t="inlineStr">
        <is>
          <t>NO</t>
        </is>
      </c>
      <c r="T94" t="inlineStr">
        <is>
          <t>1 incoming control arrow</t>
        </is>
      </c>
      <c r="U94" t="n">
        <v>1</v>
      </c>
      <c r="V94" t="inlineStr">
        <is>
          <t>N/A — INWO uses Plots instead of group income/money</t>
        </is>
      </c>
      <c r="W94" t="inlineStr">
        <is>
          <t>Standard: 1 action token (Illuminati: 1 Illuminati action); verified mechanics state no override</t>
        </is>
      </c>
      <c r="X94" t="inlineStr">
        <is>
          <t>One copy in play at a time; spare copies act as hidden agents vs. a rival's copy; a destroyed Group cannot be replayed unless a card returns it (base rule)</t>
        </is>
      </c>
      <c r="Y94" t="inlineStr">
        <is>
          <t>None beyond base rules (verified mechanics state no override)</t>
        </is>
      </c>
      <c r="Z94" t="inlineStr">
        <is>
          <t>Standard response window (verified mechanics state no override)</t>
        </is>
      </c>
      <c r="AA94" t="inlineStr">
        <is>
          <t>Specific card overrides general rules</t>
        </is>
      </c>
      <c r="AB94" t="inlineStr">
        <is>
          <t>Indexed INWO Book, Groups section</t>
        </is>
      </c>
      <c r="AC94" t="inlineStr">
        <is>
          <t>FUNCTIONALLY COMPLETE</t>
        </is>
      </c>
      <c r="AE94" t="inlineStr">
        <is>
          <t>Indexed INWO Book / historical cross-check</t>
        </is>
      </c>
      <c r="AF94" t="inlineStr">
        <is>
          <t>EXACT EDGE POSITIONS VERIFIED</t>
        </is>
      </c>
      <c r="AG94" t="inlineStr">
        <is>
          <t>Verified from supplied original-card scan: Groups/INWO - Moonies.png. Triangle orientation establishes IN=BOTTOM, OUT=TOP.</t>
        </is>
      </c>
      <c r="AH94" t="inlineStr">
        <is>
          <t>BOTTOM</t>
        </is>
      </c>
      <c r="AI94" t="inlineStr">
        <is>
          <t>TOP</t>
        </is>
      </c>
      <c r="AJ94" t="inlineStr">
        <is>
          <t>VERIFIED</t>
        </is>
      </c>
      <c r="AK94" t="inlineStr">
        <is>
          <t>Verified from supplied original-card scan: Groups/INWO - Moonies.png. Triangle orientation establishes IN=BOTTOM, OUT=TOP.</t>
        </is>
      </c>
    </row>
    <row r="95" ht="34" customHeight="1" s="16">
      <c r="A95" s="20" t="inlineStr">
        <is>
          <t>Moral Minority</t>
        </is>
      </c>
      <c r="B95" s="20" t="inlineStr">
        <is>
          <t>Group</t>
        </is>
      </c>
      <c r="C95" s="20" t="inlineStr">
        <is>
          <t>Organization</t>
        </is>
      </c>
      <c r="D95" s="20" t="inlineStr">
        <is>
          <t>Common</t>
        </is>
      </c>
      <c r="E95" s="20" t="inlineStr">
        <is>
          <t>2</t>
        </is>
      </c>
      <c r="F95" s="20" t="inlineStr">
        <is>
          <t>1</t>
        </is>
      </c>
      <c r="G95" s="20" t="inlineStr">
        <is>
          <t>Conservative, Straight, Fanatic</t>
        </is>
      </c>
      <c r="H95" s="20" t="str"/>
      <c r="I95" s="20" t="inlineStr">
        <is>
          <t>+1 Power for each other Straight group you control.</t>
        </is>
      </c>
      <c r="J95" s="20" t="inlineStr">
        <is>
          <t>Needs rules-engine encoding</t>
        </is>
      </c>
      <c r="K95" s="20" t="inlineStr">
        <is>
          <t>High</t>
        </is>
      </c>
      <c r="L95" s="20" t="inlineStr">
        <is>
          <t>Mechanics and outgoing-arrow count checked against the printed card; described in our own words. Exact physical edge placement tracked separately.</t>
        </is>
      </c>
      <c r="M95" s="20" t="inlineStr">
        <is>
          <t>https://www.scribd.com/document/851089808/TheINWOBook</t>
        </is>
      </c>
      <c r="N95" t="inlineStr">
        <is>
          <t>Passive or activated special ability</t>
        </is>
      </c>
      <c r="O95" t="inlineStr">
        <is>
          <t>Per card ability</t>
        </is>
      </c>
      <c r="Q95" t="inlineStr">
        <is>
          <t>While controlled / per effect</t>
        </is>
      </c>
      <c r="R95" t="inlineStr">
        <is>
          <t>+1 Power for each other Straight group you control.</t>
        </is>
      </c>
      <c r="S95" t="inlineStr">
        <is>
          <t>NO</t>
        </is>
      </c>
      <c r="T95" t="inlineStr">
        <is>
          <t>1 incoming control arrow</t>
        </is>
      </c>
      <c r="U95" t="n">
        <v>1</v>
      </c>
      <c r="V95" t="inlineStr">
        <is>
          <t>N/A — INWO uses Plots instead of group income/money</t>
        </is>
      </c>
      <c r="W95" t="inlineStr">
        <is>
          <t>Standard: 1 action token (Illuminati: 1 Illuminati action); verified mechanics state no override</t>
        </is>
      </c>
      <c r="X95" t="inlineStr">
        <is>
          <t>One copy in play at a time; spare copies act as hidden agents vs. a rival's copy; a destroyed Group cannot be replayed unless a card returns it (base rule)</t>
        </is>
      </c>
      <c r="Y95" t="inlineStr">
        <is>
          <t>None beyond base rules (verified mechanics state no override)</t>
        </is>
      </c>
      <c r="Z95" t="inlineStr">
        <is>
          <t>Standard response window (verified mechanics state no override)</t>
        </is>
      </c>
      <c r="AA95" t="inlineStr">
        <is>
          <t>Specific card overrides general rules</t>
        </is>
      </c>
      <c r="AB95" t="inlineStr">
        <is>
          <t>Indexed INWO Book, Groups section</t>
        </is>
      </c>
      <c r="AC95" t="inlineStr">
        <is>
          <t>FUNCTIONALLY COMPLETE</t>
        </is>
      </c>
      <c r="AE95" t="inlineStr">
        <is>
          <t>Indexed INWO Book / historical cross-check</t>
        </is>
      </c>
      <c r="AF95" t="inlineStr">
        <is>
          <t>EXACT EDGE POSITIONS VERIFIED</t>
        </is>
      </c>
      <c r="AG95" t="inlineStr">
        <is>
          <t>Verified from supplied original-card scan: Groups/INWO - Moral Minority.png. Triangle orientation establishes IN=TOP, OUT=RIGHT.</t>
        </is>
      </c>
      <c r="AH95" t="inlineStr">
        <is>
          <t>TOP</t>
        </is>
      </c>
      <c r="AI95" t="inlineStr">
        <is>
          <t>RIGHT</t>
        </is>
      </c>
      <c r="AJ95" t="inlineStr">
        <is>
          <t>VERIFIED</t>
        </is>
      </c>
      <c r="AK95" t="inlineStr">
        <is>
          <t>Verified from supplied original-card scan: Groups/INWO - Moral Minority.png. Triangle orientation establishes IN=TOP, OUT=RIGHT.</t>
        </is>
      </c>
    </row>
    <row r="96" ht="34" customHeight="1" s="16">
      <c r="A96" s="20" t="inlineStr">
        <is>
          <t>Mossad</t>
        </is>
      </c>
      <c r="B96" s="20" t="inlineStr">
        <is>
          <t>Group</t>
        </is>
      </c>
      <c r="C96" s="20" t="inlineStr">
        <is>
          <t>Organization</t>
        </is>
      </c>
      <c r="D96" s="20" t="inlineStr">
        <is>
          <t>Rare</t>
        </is>
      </c>
      <c r="E96" s="20" t="inlineStr">
        <is>
          <t>2/1</t>
        </is>
      </c>
      <c r="F96" s="20" t="inlineStr">
        <is>
          <t>7</t>
        </is>
      </c>
      <c r="G96" s="20" t="inlineStr">
        <is>
          <t>Violent, Government</t>
        </is>
      </c>
      <c r="H96" s="20" t="str"/>
      <c r="I96" s="20" t="inlineStr">
        <is>
          <t>Whenever drawing a Plot, may choose the bottom card instead; may inspect the bottom card before deciding.</t>
        </is>
      </c>
      <c r="J96" s="20" t="inlineStr">
        <is>
          <t>Needs rules-engine encoding</t>
        </is>
      </c>
      <c r="K96" s="20" t="inlineStr">
        <is>
          <t>High</t>
        </is>
      </c>
      <c r="L96" s="20" t="inlineStr">
        <is>
          <t>Mechanics and outgoing-arrow count checked against the printed card; described in our own words. Exact physical edge placement tracked separately.</t>
        </is>
      </c>
      <c r="M96" s="20" t="inlineStr">
        <is>
          <t>https://www.scribd.com/document/851089808/TheINWOBook</t>
        </is>
      </c>
      <c r="N96" t="inlineStr">
        <is>
          <t>Passive or activated special ability</t>
        </is>
      </c>
      <c r="O96" t="inlineStr">
        <is>
          <t>Per card ability</t>
        </is>
      </c>
      <c r="Q96" t="inlineStr">
        <is>
          <t>While controlled / per effect</t>
        </is>
      </c>
      <c r="R96" t="inlineStr">
        <is>
          <t>Whenever drawing a Plot, may choose the bottom card instead; may inspect the bottom card before deciding.</t>
        </is>
      </c>
      <c r="S96" t="inlineStr">
        <is>
          <t>NO</t>
        </is>
      </c>
      <c r="T96" t="inlineStr">
        <is>
          <t>1 incoming control arrow</t>
        </is>
      </c>
      <c r="U96" t="n">
        <v>1</v>
      </c>
      <c r="V96" t="inlineStr">
        <is>
          <t>N/A — INWO uses Plots instead of group income/money</t>
        </is>
      </c>
      <c r="W96" t="inlineStr">
        <is>
          <t>Standard: 1 action token (Illuminati: 1 Illuminati action); verified mechanics state no override</t>
        </is>
      </c>
      <c r="X96" t="inlineStr">
        <is>
          <t>One copy in play at a time; spare copies act as hidden agents vs. a rival's copy; a destroyed Group cannot be replayed unless a card returns it (base rule)</t>
        </is>
      </c>
      <c r="Y96" t="inlineStr">
        <is>
          <t>None beyond base rules (verified mechanics state no override)</t>
        </is>
      </c>
      <c r="Z96" t="inlineStr">
        <is>
          <t>Standard response window (verified mechanics state no override)</t>
        </is>
      </c>
      <c r="AA96" t="inlineStr">
        <is>
          <t>Specific card overrides general rules</t>
        </is>
      </c>
      <c r="AB96" t="inlineStr">
        <is>
          <t>Indexed INWO Book, Groups section</t>
        </is>
      </c>
      <c r="AC96" t="inlineStr">
        <is>
          <t>FUNCTIONALLY COMPLETE</t>
        </is>
      </c>
      <c r="AE96" t="inlineStr">
        <is>
          <t>Indexed INWO Book / historical cross-check</t>
        </is>
      </c>
      <c r="AF96" t="inlineStr">
        <is>
          <t>EXACT EDGE POSITIONS VERIFIED</t>
        </is>
      </c>
      <c r="AG96" t="inlineStr">
        <is>
          <t>Verified from supplied original-card scan: Groups/INWO - Mossad.png. Triangle orientation establishes IN=TOP, OUT=BOTTOM.</t>
        </is>
      </c>
      <c r="AH96" t="inlineStr">
        <is>
          <t>TOP</t>
        </is>
      </c>
      <c r="AI96" t="inlineStr">
        <is>
          <t>BOTTOM</t>
        </is>
      </c>
      <c r="AJ96" t="inlineStr">
        <is>
          <t>VERIFIED</t>
        </is>
      </c>
      <c r="AK96" t="inlineStr">
        <is>
          <t>Verified from supplied original-card scan: Groups/INWO - Mossad.png. Triangle orientation establishes IN=TOP, OUT=BOTTOM.</t>
        </is>
      </c>
    </row>
    <row r="97" ht="34" customHeight="1" s="16">
      <c r="A97" s="20" t="inlineStr">
        <is>
          <t>Multinational Oil Companies</t>
        </is>
      </c>
      <c r="B97" s="20" t="inlineStr">
        <is>
          <t>Group</t>
        </is>
      </c>
      <c r="C97" s="20" t="inlineStr">
        <is>
          <t>Organization</t>
        </is>
      </c>
      <c r="D97" s="20" t="inlineStr">
        <is>
          <t>Uncommon</t>
        </is>
      </c>
      <c r="E97" s="20" t="inlineStr">
        <is>
          <t>6/4</t>
        </is>
      </c>
      <c r="F97" s="20" t="inlineStr">
        <is>
          <t>4</t>
        </is>
      </c>
      <c r="G97" s="20" t="inlineStr">
        <is>
          <t>Corporate</t>
        </is>
      </c>
      <c r="H97" s="20" t="str"/>
      <c r="I97" s="20" t="inlineStr">
        <is>
          <t>When it makes or aids an attack in multiplayer, designate one rival who cannot interfere in that attack.</t>
        </is>
      </c>
      <c r="J97" s="20" t="inlineStr">
        <is>
          <t>Needs rules-engine encoding</t>
        </is>
      </c>
      <c r="K97" s="20" t="inlineStr">
        <is>
          <t>High</t>
        </is>
      </c>
      <c r="L97" s="20" t="inlineStr">
        <is>
          <t>Mechanics and outgoing-arrow count checked against the printed card; described in our own words. Exact physical edge placement tracked separately.</t>
        </is>
      </c>
      <c r="M97" s="20" t="inlineStr">
        <is>
          <t>https://www.scribd.com/document/851089808/TheINWOBook</t>
        </is>
      </c>
      <c r="N97" t="inlineStr">
        <is>
          <t>Passive or activated special ability</t>
        </is>
      </c>
      <c r="O97" t="inlineStr">
        <is>
          <t>Per card ability</t>
        </is>
      </c>
      <c r="Q97" t="inlineStr">
        <is>
          <t>While controlled / per effect</t>
        </is>
      </c>
      <c r="R97" t="inlineStr">
        <is>
          <t>When it makes or aids an attack in multiplayer, designate one rival who cannot interfere in that attack.</t>
        </is>
      </c>
      <c r="S97" t="inlineStr">
        <is>
          <t>NO</t>
        </is>
      </c>
      <c r="T97" t="inlineStr">
        <is>
          <t>1 incoming control arrow</t>
        </is>
      </c>
      <c r="U97" t="n">
        <v>3</v>
      </c>
      <c r="V97" t="inlineStr">
        <is>
          <t>N/A — INWO uses Plots instead of group income/money</t>
        </is>
      </c>
      <c r="W97" t="inlineStr">
        <is>
          <t>Standard: 1 action token (Illuminati: 1 Illuminati action); verified mechanics state no override</t>
        </is>
      </c>
      <c r="X97" t="inlineStr">
        <is>
          <t>One copy in play at a time; spare copies act as hidden agents vs. a rival's copy; a destroyed Group cannot be replayed unless a card returns it (base rule)</t>
        </is>
      </c>
      <c r="Y97" t="inlineStr">
        <is>
          <t>None beyond base rules (verified mechanics state no override)</t>
        </is>
      </c>
      <c r="Z97" t="inlineStr">
        <is>
          <t>Standard response window (verified mechanics state no override)</t>
        </is>
      </c>
      <c r="AA97" t="inlineStr">
        <is>
          <t>Specific card overrides general rules</t>
        </is>
      </c>
      <c r="AB97" t="inlineStr">
        <is>
          <t>Indexed INWO Book, Groups section</t>
        </is>
      </c>
      <c r="AC97" t="inlineStr">
        <is>
          <t>FUNCTIONALLY COMPLETE</t>
        </is>
      </c>
      <c r="AE97" t="inlineStr">
        <is>
          <t>Indexed INWO Book / historical cross-check</t>
        </is>
      </c>
      <c r="AF97" t="inlineStr">
        <is>
          <t>EXACT EDGE POSITIONS VERIFIED</t>
        </is>
      </c>
      <c r="AG97" t="inlineStr">
        <is>
          <t>Verified from supplied original-card scan: Groups/INWO - Multinational Oil Companies.png. Triangle orientation establishes IN=BOTTOM, OUT=TOP, LEFT, RIGHT.</t>
        </is>
      </c>
      <c r="AH97" t="inlineStr">
        <is>
          <t>BOTTOM</t>
        </is>
      </c>
      <c r="AI97" t="inlineStr">
        <is>
          <t>TOP, LEFT, RIGHT</t>
        </is>
      </c>
      <c r="AJ97" t="inlineStr">
        <is>
          <t>VERIFIED</t>
        </is>
      </c>
      <c r="AK97" t="inlineStr">
        <is>
          <t>Verified from supplied original-card scan: Groups/INWO - Multinational Oil Companies.png. Triangle orientation establishes IN=BOTTOM, OUT=TOP, LEFT, RIGHT.</t>
        </is>
      </c>
    </row>
    <row r="98" ht="34" customHeight="1" s="16">
      <c r="A98" s="20" t="inlineStr">
        <is>
          <t>NASA</t>
        </is>
      </c>
      <c r="B98" s="20" t="inlineStr">
        <is>
          <t>Group</t>
        </is>
      </c>
      <c r="C98" s="20" t="inlineStr">
        <is>
          <t>Organization</t>
        </is>
      </c>
      <c r="D98" s="20" t="inlineStr">
        <is>
          <t>Uncommon</t>
        </is>
      </c>
      <c r="E98" s="20" t="inlineStr">
        <is>
          <t>2</t>
        </is>
      </c>
      <c r="F98" s="20" t="inlineStr">
        <is>
          <t>4</t>
        </is>
      </c>
      <c r="G98" s="20" t="inlineStr">
        <is>
          <t>Government</t>
        </is>
      </c>
      <c r="H98" s="20" t="inlineStr">
        <is>
          <t>Space</t>
        </is>
      </c>
      <c r="I98" s="20" t="inlineStr">
        <is>
          <t>+4 on any control attempt against a Space group; may transfer its Action token to another Government group you control that lacks one, except during an attack.</t>
        </is>
      </c>
      <c r="J98" s="20" t="inlineStr">
        <is>
          <t>Needs rules-engine encoding</t>
        </is>
      </c>
      <c r="K98" s="20" t="inlineStr">
        <is>
          <t>High</t>
        </is>
      </c>
      <c r="L98" s="20" t="inlineStr">
        <is>
          <t>Mechanics and outgoing-arrow count checked against the printed card; described in our own words. Exact physical edge placement tracked separately.</t>
        </is>
      </c>
      <c r="M98" s="20" t="inlineStr">
        <is>
          <t>https://www.scribd.com/document/851089808/TheINWOBook</t>
        </is>
      </c>
      <c r="N98" t="inlineStr">
        <is>
          <t>Passive or activated special ability</t>
        </is>
      </c>
      <c r="O98" t="inlineStr">
        <is>
          <t>Per card ability</t>
        </is>
      </c>
      <c r="Q98" t="inlineStr">
        <is>
          <t>While controlled / per effect</t>
        </is>
      </c>
      <c r="R98" t="inlineStr">
        <is>
          <t>+4 on any control attempt against a Space group; may transfer its Action token to another Government group you control that lacks one, except during an attack.</t>
        </is>
      </c>
      <c r="S98" t="inlineStr">
        <is>
          <t>NO</t>
        </is>
      </c>
      <c r="T98" t="inlineStr">
        <is>
          <t>1 incoming control arrow</t>
        </is>
      </c>
      <c r="U98" t="n">
        <v>1</v>
      </c>
      <c r="V98" t="inlineStr">
        <is>
          <t>N/A — INWO uses Plots instead of group income/money</t>
        </is>
      </c>
      <c r="W98" t="inlineStr">
        <is>
          <t>Standard: 1 action token (Illuminati: 1 Illuminati action); verified mechanics state no override</t>
        </is>
      </c>
      <c r="X98" t="inlineStr">
        <is>
          <t>One copy in play at a time; spare copies act as hidden agents vs. a rival's copy; a destroyed Group cannot be replayed unless a card returns it (base rule)</t>
        </is>
      </c>
      <c r="Y98" t="inlineStr">
        <is>
          <t>None beyond base rules (verified mechanics state no override)</t>
        </is>
      </c>
      <c r="Z98" t="inlineStr">
        <is>
          <t>Standard response window (verified mechanics state no override)</t>
        </is>
      </c>
      <c r="AA98" t="inlineStr">
        <is>
          <t>Specific card overrides general rules</t>
        </is>
      </c>
      <c r="AB98" t="inlineStr">
        <is>
          <t>Indexed INWO Book, Groups section</t>
        </is>
      </c>
      <c r="AC98" t="inlineStr">
        <is>
          <t>FUNCTIONALLY COMPLETE</t>
        </is>
      </c>
      <c r="AE98" t="inlineStr">
        <is>
          <t>Indexed INWO Book / historical cross-check</t>
        </is>
      </c>
      <c r="AF98" t="inlineStr">
        <is>
          <t>EXACT EDGE POSITIONS VERIFIED</t>
        </is>
      </c>
      <c r="AG98" t="inlineStr">
        <is>
          <t>Verified from supplied original-card scan: Groups/INWO - NASA.png. Triangle orientation establishes IN=TOP, OUT=RIGHT.</t>
        </is>
      </c>
      <c r="AH98" t="inlineStr">
        <is>
          <t>TOP</t>
        </is>
      </c>
      <c r="AI98" t="inlineStr">
        <is>
          <t>RIGHT</t>
        </is>
      </c>
      <c r="AJ98" t="inlineStr">
        <is>
          <t>VERIFIED</t>
        </is>
      </c>
      <c r="AK98" t="inlineStr">
        <is>
          <t>Verified from supplied original-card scan: Groups/INWO - NASA.png. Triangle orientation establishes IN=TOP, OUT=RIGHT.</t>
        </is>
      </c>
    </row>
    <row r="99" ht="34" customHeight="1" s="16">
      <c r="A99" s="20" t="inlineStr">
        <is>
          <t>NATO</t>
        </is>
      </c>
      <c r="B99" s="20" t="inlineStr">
        <is>
          <t>Group</t>
        </is>
      </c>
      <c r="C99" s="20" t="inlineStr">
        <is>
          <t>Organization</t>
        </is>
      </c>
      <c r="D99" s="20" t="inlineStr">
        <is>
          <t>Rare</t>
        </is>
      </c>
      <c r="E99" s="20" t="inlineStr">
        <is>
          <t>3/2</t>
        </is>
      </c>
      <c r="F99" s="20" t="inlineStr">
        <is>
          <t>3</t>
        </is>
      </c>
      <c r="G99" s="20" t="inlineStr">
        <is>
          <t>Violent</t>
        </is>
      </c>
      <c r="H99" s="20" t="str"/>
      <c r="I99" s="20" t="inlineStr">
        <is>
          <t>+4 on any control attempt against a Nation; may interfere in attacks by or against Nations; its Power is tripled for Relief.</t>
        </is>
      </c>
      <c r="J99" s="20" t="inlineStr">
        <is>
          <t>Needs rules-engine encoding</t>
        </is>
      </c>
      <c r="K99" s="20" t="inlineStr">
        <is>
          <t>High</t>
        </is>
      </c>
      <c r="L99" s="20" t="inlineStr">
        <is>
          <t>Mechanics and outgoing-arrow count checked against the printed card; described in our own words. Exact physical edge placement tracked separately.</t>
        </is>
      </c>
      <c r="M99" s="20" t="inlineStr">
        <is>
          <t>https://www.scribd.com/document/851089808/TheINWOBook</t>
        </is>
      </c>
      <c r="N99" t="inlineStr">
        <is>
          <t>Passive or activated special ability</t>
        </is>
      </c>
      <c r="O99" t="inlineStr">
        <is>
          <t>Per card ability</t>
        </is>
      </c>
      <c r="Q99" t="inlineStr">
        <is>
          <t>While controlled / per effect</t>
        </is>
      </c>
      <c r="R99" t="inlineStr">
        <is>
          <t>+4 on any control attempt against a Nation; may interfere in attacks by or against Nations; its Power is tripled for Relief.</t>
        </is>
      </c>
      <c r="S99" t="inlineStr">
        <is>
          <t>NO</t>
        </is>
      </c>
      <c r="T99" t="inlineStr">
        <is>
          <t>1 incoming control arrow</t>
        </is>
      </c>
      <c r="U99" t="n">
        <v>1</v>
      </c>
      <c r="V99" t="inlineStr">
        <is>
          <t>N/A — INWO uses Plots instead of group income/money</t>
        </is>
      </c>
      <c r="W99" t="inlineStr">
        <is>
          <t>Standard: 1 action token (Illuminati: 1 Illuminati action); verified mechanics state no override</t>
        </is>
      </c>
      <c r="X99" t="inlineStr">
        <is>
          <t>One copy in play at a time; spare copies act as hidden agents vs. a rival's copy; a destroyed Group cannot be replayed unless a card returns it (base rule)</t>
        </is>
      </c>
      <c r="Y99" t="inlineStr">
        <is>
          <t>None beyond base rules (verified mechanics state no override)</t>
        </is>
      </c>
      <c r="Z99" t="inlineStr">
        <is>
          <t>Standard response window (verified mechanics state no override)</t>
        </is>
      </c>
      <c r="AA99" t="inlineStr">
        <is>
          <t>Specific card overrides general rules</t>
        </is>
      </c>
      <c r="AB99" t="inlineStr">
        <is>
          <t>Indexed INWO Book, Groups section</t>
        </is>
      </c>
      <c r="AC99" t="inlineStr">
        <is>
          <t>FUNCTIONALLY COMPLETE</t>
        </is>
      </c>
      <c r="AE99" t="inlineStr">
        <is>
          <t>Indexed INWO Book / historical cross-check</t>
        </is>
      </c>
      <c r="AF99" t="inlineStr">
        <is>
          <t>EXACT EDGE POSITIONS VERIFIED</t>
        </is>
      </c>
      <c r="AG99" t="inlineStr">
        <is>
          <t>Verified from supplied original-card scan: Groups/INWO - NATO.png. Triangle orientation establishes IN=TOP, OUT=LEFT.</t>
        </is>
      </c>
      <c r="AH99" t="inlineStr">
        <is>
          <t>TOP</t>
        </is>
      </c>
      <c r="AI99" t="inlineStr">
        <is>
          <t>LEFT</t>
        </is>
      </c>
      <c r="AJ99" t="inlineStr">
        <is>
          <t>VERIFIED</t>
        </is>
      </c>
      <c r="AK99" t="inlineStr">
        <is>
          <t>Verified from supplied original-card scan: Groups/INWO - NATO.png. Triangle orientation establishes IN=TOP, OUT=LEFT.</t>
        </is>
      </c>
    </row>
    <row r="100" ht="34" customHeight="1" s="16">
      <c r="A100" s="20" t="inlineStr">
        <is>
          <t>Nephews of God</t>
        </is>
      </c>
      <c r="B100" s="20" t="inlineStr">
        <is>
          <t>Group</t>
        </is>
      </c>
      <c r="C100" s="20" t="inlineStr">
        <is>
          <t>Organization</t>
        </is>
      </c>
      <c r="D100" s="20" t="inlineStr">
        <is>
          <t>Common</t>
        </is>
      </c>
      <c r="E100" s="20" t="inlineStr">
        <is>
          <t>1</t>
        </is>
      </c>
      <c r="F100" s="20" t="inlineStr">
        <is>
          <t>4</t>
        </is>
      </c>
      <c r="G100" s="20" t="inlineStr">
        <is>
          <t>Conservative, Fanatic</t>
        </is>
      </c>
      <c r="H100" s="20" t="str"/>
      <c r="I100" s="20" t="inlineStr">
        <is>
          <t>Before your normal card draw each turn, roll 2d6; on 6 or less draw one extra card from either deck.</t>
        </is>
      </c>
      <c r="J100" s="20" t="inlineStr">
        <is>
          <t>Needs rules-engine encoding</t>
        </is>
      </c>
      <c r="K100" s="20" t="inlineStr">
        <is>
          <t>High</t>
        </is>
      </c>
      <c r="L100" s="20" t="inlineStr">
        <is>
          <t>Mechanics and outgoing-arrow count checked against the printed card; described in our own words. Exact physical edge placement tracked separately.</t>
        </is>
      </c>
      <c r="M100" s="20" t="inlineStr">
        <is>
          <t>https://www.scribd.com/document/851089808/TheINWOBook</t>
        </is>
      </c>
      <c r="N100" t="inlineStr">
        <is>
          <t>Passive or activated special ability</t>
        </is>
      </c>
      <c r="O100" t="inlineStr">
        <is>
          <t>Per card ability</t>
        </is>
      </c>
      <c r="Q100" t="inlineStr">
        <is>
          <t>While controlled / per effect</t>
        </is>
      </c>
      <c r="R100" t="inlineStr">
        <is>
          <t>Before your normal card draw each turn, roll 2d6; on 6 or less draw one extra card from either deck.</t>
        </is>
      </c>
      <c r="S100" t="inlineStr">
        <is>
          <t>NO</t>
        </is>
      </c>
      <c r="T100" t="inlineStr">
        <is>
          <t>1 incoming control arrow</t>
        </is>
      </c>
      <c r="U100" t="n">
        <v>0</v>
      </c>
      <c r="V100" t="inlineStr">
        <is>
          <t>N/A — INWO uses Plots instead of group income/money</t>
        </is>
      </c>
      <c r="W100" t="inlineStr">
        <is>
          <t>Standard: 1 action token (Illuminati: 1 Illuminati action); verified mechanics state no override</t>
        </is>
      </c>
      <c r="X100" t="inlineStr">
        <is>
          <t>One copy in play at a time; spare copies act as hidden agents vs. a rival's copy; a destroyed Group cannot be replayed unless a card returns it (base rule)</t>
        </is>
      </c>
      <c r="Y100" t="inlineStr">
        <is>
          <t>None beyond base rules (verified mechanics state no override)</t>
        </is>
      </c>
      <c r="Z100" t="inlineStr">
        <is>
          <t>Standard response window (verified mechanics state no override)</t>
        </is>
      </c>
      <c r="AA100" t="inlineStr">
        <is>
          <t>Specific card overrides general rules</t>
        </is>
      </c>
      <c r="AB100" t="inlineStr">
        <is>
          <t>Indexed INWO Book, Groups section</t>
        </is>
      </c>
      <c r="AC100" t="inlineStr">
        <is>
          <t>FUNCTIONALLY COMPLETE</t>
        </is>
      </c>
      <c r="AE100" t="inlineStr">
        <is>
          <t>Indexed INWO Book / historical cross-check</t>
        </is>
      </c>
      <c r="AF100" t="inlineStr">
        <is>
          <t>EXACT EDGE POSITIONS VERIFIED</t>
        </is>
      </c>
      <c r="AG100" t="inlineStr">
        <is>
          <t>Verified from supplied original-card scan: Groups/INWO - Nephews of God.png. Triangle orientation establishes IN=TOP, OUT=NONE.</t>
        </is>
      </c>
      <c r="AH100" t="inlineStr">
        <is>
          <t>TOP</t>
        </is>
      </c>
      <c r="AI100" t="inlineStr">
        <is>
          <t>NONE</t>
        </is>
      </c>
      <c r="AJ100" t="inlineStr">
        <is>
          <t>VERIFIED</t>
        </is>
      </c>
      <c r="AK100" t="inlineStr">
        <is>
          <t>Verified from supplied original-card scan: Groups/INWO - Nephews of God.png. Triangle orientation establishes IN=TOP, OUT=NONE.</t>
        </is>
      </c>
    </row>
    <row r="101" ht="34" customHeight="1" s="16">
      <c r="A101" s="20" t="inlineStr">
        <is>
          <t>Ninjas</t>
        </is>
      </c>
      <c r="B101" s="20" t="inlineStr">
        <is>
          <t>Group</t>
        </is>
      </c>
      <c r="C101" s="20" t="inlineStr">
        <is>
          <t>Organization</t>
        </is>
      </c>
      <c r="D101" s="20" t="inlineStr">
        <is>
          <t>Common</t>
        </is>
      </c>
      <c r="E101" s="20" t="inlineStr">
        <is>
          <t>1</t>
        </is>
      </c>
      <c r="F101" s="20" t="inlineStr">
        <is>
          <t>7</t>
        </is>
      </c>
      <c r="G101" s="20" t="inlineStr">
        <is>
          <t>Violent</t>
        </is>
      </c>
      <c r="H101" s="20" t="inlineStr">
        <is>
          <t>Magic</t>
        </is>
      </c>
      <c r="I101" s="20" t="inlineStr">
        <is>
          <t>Your Assassinations get +4 and your other non-Instant attacks to destroy get +2; attempts to destroy Ninjas are -10; failed control/destruction attempts against them give them an Action token.</t>
        </is>
      </c>
      <c r="J101" s="20" t="inlineStr">
        <is>
          <t>Needs rules-engine encoding</t>
        </is>
      </c>
      <c r="K101" s="20" t="inlineStr">
        <is>
          <t>High</t>
        </is>
      </c>
      <c r="L101" s="20" t="inlineStr">
        <is>
          <t>Mechanics and outgoing-arrow count checked against the printed card; described in our own words. Exact physical edge placement tracked separately.</t>
        </is>
      </c>
      <c r="M101" s="20" t="inlineStr">
        <is>
          <t>https://www.scribd.com/document/851089808/TheINWOBook</t>
        </is>
      </c>
      <c r="N101" t="inlineStr">
        <is>
          <t>Passive or activated special ability</t>
        </is>
      </c>
      <c r="O101" t="inlineStr">
        <is>
          <t>Per card ability</t>
        </is>
      </c>
      <c r="Q101" t="inlineStr">
        <is>
          <t>While controlled / per effect</t>
        </is>
      </c>
      <c r="R101" t="inlineStr">
        <is>
          <t>Your Assassinations get +4 and your other non-Instant attacks to destroy get +2; attempts to destroy Ninjas are -10; failed control/destruction attempts against them give them an Action token.</t>
        </is>
      </c>
      <c r="S101" t="inlineStr">
        <is>
          <t>NO</t>
        </is>
      </c>
      <c r="T101" t="inlineStr">
        <is>
          <t>1 incoming control arrow</t>
        </is>
      </c>
      <c r="U101" t="n">
        <v>1</v>
      </c>
      <c r="V101" t="inlineStr">
        <is>
          <t>N/A — INWO uses Plots instead of group income/money</t>
        </is>
      </c>
      <c r="W101" t="inlineStr">
        <is>
          <t>Standard: 1 action token (Illuminati: 1 Illuminati action); verified mechanics state no override</t>
        </is>
      </c>
      <c r="X101" t="inlineStr">
        <is>
          <t>One copy in play at a time; spare copies act as hidden agents vs. a rival's copy; a destroyed Group cannot be replayed unless a card returns it (base rule)</t>
        </is>
      </c>
      <c r="Y101" t="inlineStr">
        <is>
          <t>None beyond base rules (verified mechanics state no override)</t>
        </is>
      </c>
      <c r="Z101" t="inlineStr">
        <is>
          <t>Standard response window (verified mechanics state no override)</t>
        </is>
      </c>
      <c r="AA101" t="inlineStr">
        <is>
          <t>Specific card overrides general rules</t>
        </is>
      </c>
      <c r="AB101" t="inlineStr">
        <is>
          <t>Indexed INWO Book, Groups section</t>
        </is>
      </c>
      <c r="AC101" t="inlineStr">
        <is>
          <t>FUNCTIONALLY COMPLETE</t>
        </is>
      </c>
      <c r="AE101" t="inlineStr">
        <is>
          <t>Indexed INWO Book / historical cross-check</t>
        </is>
      </c>
      <c r="AF101" t="inlineStr">
        <is>
          <t>EXACT EDGE POSITIONS VERIFIED</t>
        </is>
      </c>
      <c r="AG101" t="inlineStr">
        <is>
          <t>Verified from supplied original-card scan: Groups/INWO - Ninjas.png. Triangle orientation establishes IN=BOTTOM, OUT=TOP.</t>
        </is>
      </c>
      <c r="AH101" t="inlineStr">
        <is>
          <t>BOTTOM</t>
        </is>
      </c>
      <c r="AI101" t="inlineStr">
        <is>
          <t>TOP</t>
        </is>
      </c>
      <c r="AJ101" t="inlineStr">
        <is>
          <t>VERIFIED</t>
        </is>
      </c>
      <c r="AK101" t="inlineStr">
        <is>
          <t>Verified from supplied original-card scan: Groups/INWO - Ninjas.png. Triangle orientation establishes IN=BOTTOM, OUT=TOP.</t>
        </is>
      </c>
    </row>
    <row r="102" ht="34" customHeight="1" s="16">
      <c r="A102" s="20" t="inlineStr">
        <is>
          <t>N.S.A.</t>
        </is>
      </c>
      <c r="B102" s="20" t="inlineStr">
        <is>
          <t>Group</t>
        </is>
      </c>
      <c r="C102" s="20" t="inlineStr">
        <is>
          <t>Organization</t>
        </is>
      </c>
      <c r="D102" s="20" t="inlineStr">
        <is>
          <t>Rare</t>
        </is>
      </c>
      <c r="E102" s="20" t="inlineStr">
        <is>
          <t>5/2</t>
        </is>
      </c>
      <c r="F102" s="20" t="inlineStr">
        <is>
          <t>4</t>
        </is>
      </c>
      <c r="G102" s="20" t="inlineStr">
        <is>
          <t>Government</t>
        </is>
      </c>
      <c r="H102" s="20" t="inlineStr">
        <is>
          <t>Secret, Computer</t>
        </is>
      </c>
      <c r="I102" s="20" t="inlineStr">
        <is>
          <t>Once during your turn for free, inspect the top or bottom three Plots of any player's deck; may also do so as an action at other legal times.</t>
        </is>
      </c>
      <c r="J102" s="20" t="inlineStr">
        <is>
          <t>Needs rules-engine encoding</t>
        </is>
      </c>
      <c r="K102" s="20" t="inlineStr">
        <is>
          <t>High</t>
        </is>
      </c>
      <c r="L102" s="20" t="inlineStr">
        <is>
          <t>Mechanics and outgoing-arrow count checked against the printed card; described in our own words. Exact physical edge placement tracked separately.</t>
        </is>
      </c>
      <c r="M102" s="20" t="inlineStr">
        <is>
          <t>https://www.scribd.com/document/851089808/TheINWOBook</t>
        </is>
      </c>
      <c r="N102" t="inlineStr">
        <is>
          <t>Passive or activated special ability</t>
        </is>
      </c>
      <c r="O102" t="inlineStr">
        <is>
          <t>Per card ability</t>
        </is>
      </c>
      <c r="Q102" t="inlineStr">
        <is>
          <t>While controlled / per effect</t>
        </is>
      </c>
      <c r="R102" t="inlineStr">
        <is>
          <t>Once during your turn for free, inspect the top or bottom three Plots of any player's deck; may also do so as an action at other legal times.</t>
        </is>
      </c>
      <c r="S102" t="inlineStr">
        <is>
          <t>NO</t>
        </is>
      </c>
      <c r="T102" t="inlineStr">
        <is>
          <t>1 incoming control arrow</t>
        </is>
      </c>
      <c r="U102" t="n">
        <v>3</v>
      </c>
      <c r="V102" t="inlineStr">
        <is>
          <t>N/A — INWO uses Plots instead of group income/money</t>
        </is>
      </c>
      <c r="W102" t="inlineStr">
        <is>
          <t>Standard: 1 action token (Illuminati: 1 Illuminati action); verified mechanics state no override</t>
        </is>
      </c>
      <c r="X102" t="inlineStr">
        <is>
          <t>One copy in play at a time; spare copies act as hidden agents vs. a rival's copy; a destroyed Group cannot be replayed unless a card returns it (base rule)</t>
        </is>
      </c>
      <c r="Y102" t="inlineStr">
        <is>
          <t>None beyond base rules (verified mechanics state no override)</t>
        </is>
      </c>
      <c r="Z102" t="inlineStr">
        <is>
          <t>Standard response window (verified mechanics state no override)</t>
        </is>
      </c>
      <c r="AA102" t="inlineStr">
        <is>
          <t>Specific card overrides general rules</t>
        </is>
      </c>
      <c r="AB102" t="inlineStr">
        <is>
          <t>Indexed INWO Book, Groups section</t>
        </is>
      </c>
      <c r="AC102" t="inlineStr">
        <is>
          <t>FUNCTIONALLY COMPLETE</t>
        </is>
      </c>
      <c r="AE102" t="inlineStr">
        <is>
          <t>Indexed INWO Book / historical cross-check</t>
        </is>
      </c>
      <c r="AF102" t="inlineStr">
        <is>
          <t>EXACT EDGE POSITIONS VERIFIED</t>
        </is>
      </c>
      <c r="AG102" t="inlineStr">
        <is>
          <t>Verified from supplied original-card scan: Groups/INWO - N.S.A..png. Triangle orientation establishes IN=BOTTOM, OUT=TOP, LEFT, RIGHT.</t>
        </is>
      </c>
      <c r="AH102" t="inlineStr">
        <is>
          <t>BOTTOM</t>
        </is>
      </c>
      <c r="AI102" t="inlineStr">
        <is>
          <t>TOP, LEFT, RIGHT</t>
        </is>
      </c>
      <c r="AJ102" t="inlineStr">
        <is>
          <t>VERIFIED</t>
        </is>
      </c>
      <c r="AK102" t="inlineStr">
        <is>
          <t>Verified from supplied original-card scan: Groups/INWO - N.S.A..png. Triangle orientation establishes IN=BOTTOM, OUT=TOP, LEFT, RIGHT.</t>
        </is>
      </c>
    </row>
    <row r="103" ht="34" customHeight="1" s="16">
      <c r="A103" s="20" t="inlineStr">
        <is>
          <t>Nuclear Power Companies</t>
        </is>
      </c>
      <c r="B103" s="20" t="inlineStr">
        <is>
          <t>Group</t>
        </is>
      </c>
      <c r="C103" s="20" t="inlineStr">
        <is>
          <t>Organization</t>
        </is>
      </c>
      <c r="D103" s="20" t="inlineStr">
        <is>
          <t>Common</t>
        </is>
      </c>
      <c r="E103" s="20" t="inlineStr">
        <is>
          <t>4</t>
        </is>
      </c>
      <c r="F103" s="20" t="inlineStr">
        <is>
          <t>4</t>
        </is>
      </c>
      <c r="G103" s="20" t="inlineStr">
        <is>
          <t>Conservative, Corporate</t>
        </is>
      </c>
      <c r="H103" s="20" t="inlineStr">
        <is>
          <t>Science</t>
        </is>
      </c>
      <c r="I103" s="20" t="inlineStr">
        <is>
          <t>As an action, cancel another Group's action, including an Illuminati action.</t>
        </is>
      </c>
      <c r="J103" s="20" t="inlineStr">
        <is>
          <t>Needs rules-engine encoding</t>
        </is>
      </c>
      <c r="K103" s="20" t="inlineStr">
        <is>
          <t>High</t>
        </is>
      </c>
      <c r="L103" s="20" t="inlineStr">
        <is>
          <t>Mechanics and outgoing-arrow count checked against the printed card; described in our own words. Exact physical edge placement tracked separately.</t>
        </is>
      </c>
      <c r="M103" s="20" t="inlineStr">
        <is>
          <t>https://www.scribd.com/document/851089808/TheINWOBook</t>
        </is>
      </c>
      <c r="N103" t="inlineStr">
        <is>
          <t>Passive or activated special ability</t>
        </is>
      </c>
      <c r="O103" t="inlineStr">
        <is>
          <t>Per card ability</t>
        </is>
      </c>
      <c r="Q103" t="inlineStr">
        <is>
          <t>While controlled / per effect</t>
        </is>
      </c>
      <c r="R103" t="inlineStr">
        <is>
          <t>As an action, cancel another Group's action, including an Illuminati action.</t>
        </is>
      </c>
      <c r="S103" t="inlineStr">
        <is>
          <t>NO</t>
        </is>
      </c>
      <c r="T103" t="inlineStr">
        <is>
          <t>1 incoming control arrow</t>
        </is>
      </c>
      <c r="U103" t="n">
        <v>2</v>
      </c>
      <c r="V103" t="inlineStr">
        <is>
          <t>N/A — INWO uses Plots instead of group income/money</t>
        </is>
      </c>
      <c r="W103" t="inlineStr">
        <is>
          <t>Standard: 1 action token (Illuminati: 1 Illuminati action); verified mechanics state no override</t>
        </is>
      </c>
      <c r="X103" t="inlineStr">
        <is>
          <t>One copy in play at a time; spare copies act as hidden agents vs. a rival's copy; a destroyed Group cannot be replayed unless a card returns it (base rule)</t>
        </is>
      </c>
      <c r="Y103" t="inlineStr">
        <is>
          <t>None beyond base rules (verified mechanics state no override)</t>
        </is>
      </c>
      <c r="Z103" t="inlineStr">
        <is>
          <t>Standard response window (verified mechanics state no override)</t>
        </is>
      </c>
      <c r="AA103" t="inlineStr">
        <is>
          <t>Specific card overrides general rules</t>
        </is>
      </c>
      <c r="AB103" t="inlineStr">
        <is>
          <t>Indexed INWO Book, Groups section</t>
        </is>
      </c>
      <c r="AC103" t="inlineStr">
        <is>
          <t>FUNCTIONALLY COMPLETE</t>
        </is>
      </c>
      <c r="AE103" t="inlineStr">
        <is>
          <t>Indexed INWO Book / historical cross-check</t>
        </is>
      </c>
      <c r="AF103" t="inlineStr">
        <is>
          <t>EXACT EDGE POSITIONS VERIFIED</t>
        </is>
      </c>
      <c r="AG103" t="inlineStr">
        <is>
          <t>Verified from supplied original-card scan: Groups/INWO - Nuclear Power Companies.png. Triangle orientation establishes IN=TOP, OUT=LEFT, RIGHT.</t>
        </is>
      </c>
      <c r="AH103" t="inlineStr">
        <is>
          <t>TOP</t>
        </is>
      </c>
      <c r="AI103" t="inlineStr">
        <is>
          <t>LEFT, RIGHT</t>
        </is>
      </c>
      <c r="AJ103" t="inlineStr">
        <is>
          <t>VERIFIED</t>
        </is>
      </c>
      <c r="AK103" t="inlineStr">
        <is>
          <t>Verified from supplied original-card scan: Groups/INWO - Nuclear Power Companies.png. Triangle orientation establishes IN=TOP, OUT=LEFT, RIGHT.</t>
        </is>
      </c>
    </row>
    <row r="104" ht="34" customHeight="1" s="16">
      <c r="A104" s="20" t="inlineStr">
        <is>
          <t>Offshore Banks</t>
        </is>
      </c>
      <c r="B104" s="20" t="inlineStr">
        <is>
          <t>Group</t>
        </is>
      </c>
      <c r="C104" s="20" t="inlineStr">
        <is>
          <t>Organization</t>
        </is>
      </c>
      <c r="D104" s="20" t="inlineStr">
        <is>
          <t>Uncommon</t>
        </is>
      </c>
      <c r="E104" s="20" t="inlineStr">
        <is>
          <t>2/2</t>
        </is>
      </c>
      <c r="F104" s="20" t="inlineStr">
        <is>
          <t>2</t>
        </is>
      </c>
      <c r="G104" s="20" t="inlineStr">
        <is>
          <t>Criminal</t>
        </is>
      </c>
      <c r="H104" s="20" t="inlineStr">
        <is>
          <t>Bank</t>
        </is>
      </c>
      <c r="I104" s="20" t="inlineStr">
        <is>
          <t>Immune to destruction by Government, Corporate, or Criminal groups; once per turn on your turn, freely move one of your Groups to another legal Power Structure position.</t>
        </is>
      </c>
      <c r="J104" s="20" t="inlineStr">
        <is>
          <t>Needs rules-engine encoding</t>
        </is>
      </c>
      <c r="K104" s="20" t="inlineStr">
        <is>
          <t>High</t>
        </is>
      </c>
      <c r="L104" s="20" t="inlineStr">
        <is>
          <t>Mechanics and outgoing-arrow count checked against the printed card; described in our own words. Exact physical edge placement tracked separately.</t>
        </is>
      </c>
      <c r="M104" s="20" t="inlineStr">
        <is>
          <t>https://www.scribd.com/document/851089808/TheINWOBook</t>
        </is>
      </c>
      <c r="N104" t="inlineStr">
        <is>
          <t>Passive or activated special ability</t>
        </is>
      </c>
      <c r="O104" t="inlineStr">
        <is>
          <t>Per card ability</t>
        </is>
      </c>
      <c r="Q104" t="inlineStr">
        <is>
          <t>While controlled / per effect</t>
        </is>
      </c>
      <c r="R104" t="inlineStr">
        <is>
          <t>Immune to destruction by Government, Corporate, or Criminal groups; once per turn on your turn, freely move one of your Groups to another legal Power Structure position.</t>
        </is>
      </c>
      <c r="S104" t="inlineStr">
        <is>
          <t>NO</t>
        </is>
      </c>
      <c r="T104" t="inlineStr">
        <is>
          <t>1 incoming control arrow</t>
        </is>
      </c>
      <c r="U104" t="n">
        <v>1</v>
      </c>
      <c r="V104" t="inlineStr">
        <is>
          <t>N/A — INWO uses Plots instead of group income/money</t>
        </is>
      </c>
      <c r="W104" t="inlineStr">
        <is>
          <t>Standard: 1 action token (Illuminati: 1 Illuminati action); verified mechanics state no override</t>
        </is>
      </c>
      <c r="X104" t="inlineStr">
        <is>
          <t>One copy in play at a time; spare copies act as hidden agents vs. a rival's copy; a destroyed Group cannot be replayed unless a card returns it (base rule)</t>
        </is>
      </c>
      <c r="Y104" t="inlineStr">
        <is>
          <t>None beyond base rules (verified mechanics state no override)</t>
        </is>
      </c>
      <c r="Z104" t="inlineStr">
        <is>
          <t>Standard response window (verified mechanics state no override)</t>
        </is>
      </c>
      <c r="AA104" t="inlineStr">
        <is>
          <t>Specific card overrides general rules</t>
        </is>
      </c>
      <c r="AB104" t="inlineStr">
        <is>
          <t>Indexed INWO Book, Groups section</t>
        </is>
      </c>
      <c r="AC104" t="inlineStr">
        <is>
          <t>FUNCTIONALLY COMPLETE</t>
        </is>
      </c>
      <c r="AE104" t="inlineStr">
        <is>
          <t>Indexed INWO Book / historical cross-check</t>
        </is>
      </c>
      <c r="AF104" t="inlineStr">
        <is>
          <t>EXACT EDGE POSITIONS VERIFIED</t>
        </is>
      </c>
      <c r="AG104" t="inlineStr">
        <is>
          <t>Verified from supplied original-card scan: Groups/INWO - Offshore Banks.png. Triangle orientation establishes IN=BOTTOM, OUT=TOP.</t>
        </is>
      </c>
      <c r="AH104" t="inlineStr">
        <is>
          <t>BOTTOM</t>
        </is>
      </c>
      <c r="AI104" t="inlineStr">
        <is>
          <t>TOP</t>
        </is>
      </c>
      <c r="AJ104" t="inlineStr">
        <is>
          <t>VERIFIED</t>
        </is>
      </c>
      <c r="AK104" t="inlineStr">
        <is>
          <t>Verified from supplied original-card scan: Groups/INWO - Offshore Banks.png. Triangle orientation establishes IN=BOTTOM, OUT=TOP.</t>
        </is>
      </c>
    </row>
    <row r="105" ht="34" customHeight="1" s="16">
      <c r="A105" s="20" t="inlineStr">
        <is>
          <t>OPEC</t>
        </is>
      </c>
      <c r="B105" s="20" t="inlineStr">
        <is>
          <t>Group</t>
        </is>
      </c>
      <c r="C105" s="20" t="inlineStr">
        <is>
          <t>Organization</t>
        </is>
      </c>
      <c r="D105" s="20" t="inlineStr">
        <is>
          <t>Common</t>
        </is>
      </c>
      <c r="E105" s="20" t="inlineStr">
        <is>
          <t>*</t>
        </is>
      </c>
      <c r="F105" s="20" t="inlineStr">
        <is>
          <t>4</t>
        </is>
      </c>
      <c r="G105" s="20" t="inlineStr">
        <is>
          <t>Conservative</t>
        </is>
      </c>
      <c r="H105" s="20" t="str"/>
      <c r="I105" s="20" t="inlineStr">
        <is>
          <t>Printed Power is determined on takeover and at the start of each turn by 2d6-2, with +1 if you control Texas and +1 if you control Multinational Oil Companies.</t>
        </is>
      </c>
      <c r="J105" s="20" t="inlineStr">
        <is>
          <t>Needs rules-engine encoding</t>
        </is>
      </c>
      <c r="K105" s="20" t="inlineStr">
        <is>
          <t>High</t>
        </is>
      </c>
      <c r="L105" s="20" t="inlineStr">
        <is>
          <t>Mechanics and outgoing-arrow count checked against the printed card; described in our own words. Exact physical edge placement tracked separately.</t>
        </is>
      </c>
      <c r="M105" s="20" t="inlineStr">
        <is>
          <t>https://www.scribd.com/document/851089808/TheINWOBook</t>
        </is>
      </c>
      <c r="N105" t="inlineStr">
        <is>
          <t>Passive or activated special ability</t>
        </is>
      </c>
      <c r="O105" t="inlineStr">
        <is>
          <t>Per card ability</t>
        </is>
      </c>
      <c r="Q105" t="inlineStr">
        <is>
          <t>While controlled / per effect</t>
        </is>
      </c>
      <c r="R105" t="inlineStr">
        <is>
          <t>Printed Power is determined on takeover and at the start of each turn by 2d6-2, with +1 if you control Texas and +1 if you control Multinational Oil Companies.</t>
        </is>
      </c>
      <c r="S105" t="inlineStr">
        <is>
          <t>NO</t>
        </is>
      </c>
      <c r="T105" t="inlineStr">
        <is>
          <t>1 incoming control arrow</t>
        </is>
      </c>
      <c r="U105" t="n">
        <v>2</v>
      </c>
      <c r="V105" t="inlineStr">
        <is>
          <t>N/A — INWO uses Plots instead of group income/money</t>
        </is>
      </c>
      <c r="W105" t="inlineStr">
        <is>
          <t>Standard: 1 action token (Illuminati: 1 Illuminati action); verified mechanics state no override</t>
        </is>
      </c>
      <c r="X105" t="inlineStr">
        <is>
          <t>One copy in play at a time; spare copies act as hidden agents vs. a rival's copy; a destroyed Group cannot be replayed unless a card returns it (base rule)</t>
        </is>
      </c>
      <c r="Y105" t="inlineStr">
        <is>
          <t>None beyond base rules (verified mechanics state no override)</t>
        </is>
      </c>
      <c r="Z105" t="inlineStr">
        <is>
          <t>Standard response window (verified mechanics state no override)</t>
        </is>
      </c>
      <c r="AA105" t="inlineStr">
        <is>
          <t>Specific card overrides general rules</t>
        </is>
      </c>
      <c r="AB105" t="inlineStr">
        <is>
          <t>Indexed INWO Book, Groups section</t>
        </is>
      </c>
      <c r="AC105" t="inlineStr">
        <is>
          <t>FUNCTIONALLY COMPLETE</t>
        </is>
      </c>
      <c r="AE105" t="inlineStr">
        <is>
          <t>Indexed INWO Book / historical cross-check</t>
        </is>
      </c>
      <c r="AF105" t="inlineStr">
        <is>
          <t>EXACT EDGE POSITIONS VERIFIED</t>
        </is>
      </c>
      <c r="AG105" t="inlineStr">
        <is>
          <t>Verified from supplied original-card scan: Groups/INWO - OPEC.png. Triangle orientation establishes IN=TOP, OUT=BOTTOM, RIGHT.</t>
        </is>
      </c>
      <c r="AH105" t="inlineStr">
        <is>
          <t>TOP</t>
        </is>
      </c>
      <c r="AI105" t="inlineStr">
        <is>
          <t>BOTTOM, RIGHT</t>
        </is>
      </c>
      <c r="AJ105" t="inlineStr">
        <is>
          <t>VERIFIED</t>
        </is>
      </c>
      <c r="AK105" t="inlineStr">
        <is>
          <t>Verified from supplied original-card scan: Groups/INWO - OPEC.png. Triangle orientation establishes IN=TOP, OUT=BOTTOM, RIGHT.</t>
        </is>
      </c>
    </row>
    <row r="106" ht="34" customHeight="1" s="16">
      <c r="A106" s="20" t="inlineStr">
        <is>
          <t>Paranoids</t>
        </is>
      </c>
      <c r="B106" s="20" t="inlineStr">
        <is>
          <t>Group</t>
        </is>
      </c>
      <c r="C106" s="20" t="inlineStr">
        <is>
          <t>Organization</t>
        </is>
      </c>
      <c r="D106" s="20" t="inlineStr">
        <is>
          <t>Common</t>
        </is>
      </c>
      <c r="E106" s="20" t="inlineStr">
        <is>
          <t>0</t>
        </is>
      </c>
      <c r="F106" s="20" t="inlineStr">
        <is>
          <t>6</t>
        </is>
      </c>
      <c r="G106" s="20" t="inlineStr">
        <is>
          <t>None</t>
        </is>
      </c>
      <c r="H106" s="20" t="n"/>
      <c r="I106" s="20" t="inlineStr">
        <is>
          <t>Every group in your Power Structure adds +2 when defending against attacks and Assassinations (Disasters excluded). The Paranoids receive no Action tokens and can do nothing unless their Power is raised above 0; while their Power is 0 they cannot be destroyed.</t>
        </is>
      </c>
      <c r="J106" s="20" t="inlineStr">
        <is>
          <t>Needs rules-engine encoding</t>
        </is>
      </c>
      <c r="K106" s="20" t="inlineStr">
        <is>
          <t>High</t>
        </is>
      </c>
      <c r="L106" s="20" t="inlineStr">
        <is>
          <t>Printed Power 0 with no Global value. One incoming arrow, no outgoing arrows visible.</t>
        </is>
      </c>
      <c r="M106" s="20" t="inlineStr">
        <is>
          <t>https://github.com/Cha0smagick/Virtual-Illuminati-New-World-order-INWO-game</t>
        </is>
      </c>
      <c r="N106" t="inlineStr">
        <is>
          <t>Passive while in play</t>
        </is>
      </c>
      <c r="O106" t="inlineStr">
        <is>
          <t>All groups in your Power Structure</t>
        </is>
      </c>
      <c r="P106" t="inlineStr">
        <is>
          <t>None</t>
        </is>
      </c>
      <c r="Q106" t="inlineStr">
        <is>
          <t>Permanent while in play</t>
        </is>
      </c>
      <c r="R106" t="inlineStr">
        <is>
          <t>+2 defense vs attacks and Assassinations (not Disasters); no action tokens while Power 0; immune to destruction while Power 0</t>
        </is>
      </c>
      <c r="S106" t="inlineStr">
        <is>
          <t>NO</t>
        </is>
      </c>
      <c r="T106" t="inlineStr">
        <is>
          <t>1 incoming control arrow</t>
        </is>
      </c>
      <c r="U106" t="n">
        <v>0</v>
      </c>
      <c r="V106" t="inlineStr">
        <is>
          <t>N/A — INWO uses Plots instead of group income/money</t>
        </is>
      </c>
      <c r="W106" t="inlineStr">
        <is>
          <t>No action tokens while Power is 0</t>
        </is>
      </c>
      <c r="X106" t="inlineStr">
        <is>
          <t>No card-specific limit (base duplicate rules apply)</t>
        </is>
      </c>
      <c r="Y106" t="inlineStr">
        <is>
          <t>None beyond base rules</t>
        </is>
      </c>
      <c r="Z106" t="inlineStr">
        <is>
          <t>Standard response window</t>
        </is>
      </c>
      <c r="AA106" t="inlineStr">
        <is>
          <t>Specific card overrides general rules</t>
        </is>
      </c>
      <c r="AB106" t="inlineStr">
        <is>
          <t>Full card scan read; behaviour paraphrased (no card text copied)</t>
        </is>
      </c>
      <c r="AC106" t="inlineStr">
        <is>
          <t>FUNCTIONALLY COMPLETE</t>
        </is>
      </c>
      <c r="AD106" t="inlineStr">
        <is>
          <t>None</t>
        </is>
      </c>
      <c r="AE106" t="inlineStr">
        <is>
          <t>Card scan (GitHub: Cha0smagick/Virtual-Illuminati-New-World-order-INWO-game), read Sep 2026</t>
        </is>
      </c>
      <c r="AF106" t="inlineStr">
        <is>
          <t>EXACT EDGE POSITIONS VERIFIED</t>
        </is>
      </c>
      <c r="AG106" t="inlineStr">
        <is>
          <t>Verified from supplied original-card scan: Groups/INWO - Paranoids.png. Triangle orientation establishes IN=TOP, OUT=NONE.</t>
        </is>
      </c>
      <c r="AH106" t="inlineStr">
        <is>
          <t>TOP</t>
        </is>
      </c>
      <c r="AI106" t="inlineStr">
        <is>
          <t>NONE</t>
        </is>
      </c>
      <c r="AJ106" t="inlineStr">
        <is>
          <t>VERIFIED</t>
        </is>
      </c>
      <c r="AK106" t="inlineStr">
        <is>
          <t>Verified from supplied original-card scan: Groups/INWO - Paranoids.png. Triangle orientation establishes IN=TOP, OUT=NONE.</t>
        </is>
      </c>
    </row>
    <row r="107" ht="34" customHeight="1" s="16">
      <c r="A107" s="20" t="inlineStr">
        <is>
          <t>Phone Company</t>
        </is>
      </c>
      <c r="B107" s="20" t="inlineStr">
        <is>
          <t>Group</t>
        </is>
      </c>
      <c r="C107" s="20" t="inlineStr">
        <is>
          <t>Organization</t>
        </is>
      </c>
      <c r="D107" s="20" t="inlineStr">
        <is>
          <t>Uncommon</t>
        </is>
      </c>
      <c r="E107" s="20" t="inlineStr">
        <is>
          <t>5/3</t>
        </is>
      </c>
      <c r="F107" s="20" t="inlineStr">
        <is>
          <t>6</t>
        </is>
      </c>
      <c r="G107" s="20" t="inlineStr">
        <is>
          <t>Corporate</t>
        </is>
      </c>
      <c r="H107" s="20" t="inlineStr">
        <is>
          <t>Science, Computer</t>
        </is>
      </c>
      <c r="I107" s="20" t="inlineStr">
        <is>
          <t>On your turn, freely inspect two random hidden rival Plots; as an action, expose two random hidden rival Plots.</t>
        </is>
      </c>
      <c r="J107" s="20" t="inlineStr">
        <is>
          <t>Needs rules-engine encoding</t>
        </is>
      </c>
      <c r="K107" s="20" t="inlineStr">
        <is>
          <t>High</t>
        </is>
      </c>
      <c r="L107" s="20" t="inlineStr">
        <is>
          <t>Mechanics and outgoing-arrow count checked against the printed card; described in our own words. Exact physical edge placement tracked separately.</t>
        </is>
      </c>
      <c r="M107" s="20" t="inlineStr">
        <is>
          <t>https://www.scribd.com/document/851089808/TheINWOBook</t>
        </is>
      </c>
      <c r="N107" t="inlineStr">
        <is>
          <t>Passive or activated special ability</t>
        </is>
      </c>
      <c r="O107" t="inlineStr">
        <is>
          <t>Per card ability</t>
        </is>
      </c>
      <c r="Q107" t="inlineStr">
        <is>
          <t>While controlled / per effect</t>
        </is>
      </c>
      <c r="R107" t="inlineStr">
        <is>
          <t>On your turn, freely inspect two random hidden rival Plots; as an action, expose two random hidden rival Plots.</t>
        </is>
      </c>
      <c r="S107" t="inlineStr">
        <is>
          <t>NO</t>
        </is>
      </c>
      <c r="T107" t="inlineStr">
        <is>
          <t>1 incoming control arrow</t>
        </is>
      </c>
      <c r="U107" t="n">
        <v>2</v>
      </c>
      <c r="V107" t="inlineStr">
        <is>
          <t>N/A — INWO uses Plots instead of group income/money</t>
        </is>
      </c>
      <c r="W107" t="inlineStr">
        <is>
          <t>Standard: 1 action token (Illuminati: 1 Illuminati action); verified mechanics state no override</t>
        </is>
      </c>
      <c r="X107" t="inlineStr">
        <is>
          <t>One copy in play at a time; spare copies act as hidden agents vs. a rival's copy; a destroyed Group cannot be replayed unless a card returns it (base rule)</t>
        </is>
      </c>
      <c r="Y107" t="inlineStr">
        <is>
          <t>None beyond base rules (verified mechanics state no override)</t>
        </is>
      </c>
      <c r="Z107" t="inlineStr">
        <is>
          <t>Standard response window (verified mechanics state no override)</t>
        </is>
      </c>
      <c r="AA107" t="inlineStr">
        <is>
          <t>Specific card overrides general rules</t>
        </is>
      </c>
      <c r="AB107" t="inlineStr">
        <is>
          <t>Indexed INWO Book, Groups section</t>
        </is>
      </c>
      <c r="AC107" t="inlineStr">
        <is>
          <t>FUNCTIONALLY COMPLETE</t>
        </is>
      </c>
      <c r="AE107" t="inlineStr">
        <is>
          <t>Indexed INWO Book / historical cross-check</t>
        </is>
      </c>
      <c r="AF107" t="inlineStr">
        <is>
          <t>EXACT EDGE POSITIONS VERIFIED</t>
        </is>
      </c>
      <c r="AG107" t="inlineStr">
        <is>
          <t>Verified from supplied original-card scan: Groups/INWO - Phone Company.png. Triangle orientation establishes IN=TOP, OUT=BOTTOM, LEFT.</t>
        </is>
      </c>
      <c r="AH107" t="inlineStr">
        <is>
          <t>TOP</t>
        </is>
      </c>
      <c r="AI107" t="inlineStr">
        <is>
          <t>BOTTOM, LEFT</t>
        </is>
      </c>
      <c r="AJ107" t="inlineStr">
        <is>
          <t>VERIFIED</t>
        </is>
      </c>
      <c r="AK107" t="inlineStr">
        <is>
          <t>Verified from supplied original-card scan: Groups/INWO - Phone Company.png. Triangle orientation establishes IN=TOP, OUT=BOTTOM, LEFT.</t>
        </is>
      </c>
    </row>
    <row r="108" ht="34" customHeight="1" s="16">
      <c r="A108" s="20" t="inlineStr">
        <is>
          <t>Phone Phreaks</t>
        </is>
      </c>
      <c r="B108" s="20" t="inlineStr">
        <is>
          <t>Group</t>
        </is>
      </c>
      <c r="C108" s="20" t="inlineStr">
        <is>
          <t>Organization</t>
        </is>
      </c>
      <c r="D108" s="20" t="inlineStr">
        <is>
          <t>Common</t>
        </is>
      </c>
      <c r="E108" s="20" t="inlineStr">
        <is>
          <t>1/1</t>
        </is>
      </c>
      <c r="F108" s="20" t="inlineStr">
        <is>
          <t>1</t>
        </is>
      </c>
      <c r="G108" s="20" t="inlineStr">
        <is>
          <t>Liberal, Criminal</t>
        </is>
      </c>
      <c r="H108" s="20" t="inlineStr">
        <is>
          <t>Science, Computer</t>
        </is>
      </c>
      <c r="I108" s="20" t="inlineStr">
        <is>
          <t>+6 on any control or destruction attempt against a Computer group; as an action move any eligible Group in any Power Structure to another legal arrow, except a rival's direct Illuminati puppet; not during an attack.</t>
        </is>
      </c>
      <c r="J108" s="20" t="inlineStr">
        <is>
          <t>Needs rules-engine encoding</t>
        </is>
      </c>
      <c r="K108" s="20" t="inlineStr">
        <is>
          <t>High</t>
        </is>
      </c>
      <c r="L108" s="20" t="inlineStr">
        <is>
          <t>Mechanics and outgoing-arrow count checked against the printed card; described in our own words. Exact physical edge placement tracked separately.</t>
        </is>
      </c>
      <c r="M108" s="20" t="inlineStr">
        <is>
          <t>https://www.scribd.com/document/851089808/TheINWOBook</t>
        </is>
      </c>
      <c r="N108" t="inlineStr">
        <is>
          <t>Passive or activated special ability</t>
        </is>
      </c>
      <c r="O108" t="inlineStr">
        <is>
          <t>Per card ability</t>
        </is>
      </c>
      <c r="Q108" t="inlineStr">
        <is>
          <t>While controlled / per effect</t>
        </is>
      </c>
      <c r="R108" t="inlineStr">
        <is>
          <t>+6 on any control or destruction attempt against a Computer group; as an action move any eligible Group in any Power Structure to another legal arrow, except a rival's direct Illuminati puppet; not during an attack.</t>
        </is>
      </c>
      <c r="S108" t="inlineStr">
        <is>
          <t>NO</t>
        </is>
      </c>
      <c r="T108" t="inlineStr">
        <is>
          <t>1 incoming control arrow</t>
        </is>
      </c>
      <c r="U108" t="n">
        <v>0</v>
      </c>
      <c r="V108" t="inlineStr">
        <is>
          <t>N/A — INWO uses Plots instead of group income/money</t>
        </is>
      </c>
      <c r="W108" t="inlineStr">
        <is>
          <t>Standard: 1 action token (Illuminati: 1 Illuminati action); verified mechanics state no override</t>
        </is>
      </c>
      <c r="X108" t="inlineStr">
        <is>
          <t>One copy in play at a time; spare copies act as hidden agents vs. a rival's copy; a destroyed Group cannot be replayed unless a card returns it (base rule)</t>
        </is>
      </c>
      <c r="Y108" t="inlineStr">
        <is>
          <t>None beyond base rules (verified mechanics state no override)</t>
        </is>
      </c>
      <c r="Z108" t="inlineStr">
        <is>
          <t>Standard response window (verified mechanics state no override)</t>
        </is>
      </c>
      <c r="AA108" t="inlineStr">
        <is>
          <t>Specific card overrides general rules</t>
        </is>
      </c>
      <c r="AB108" t="inlineStr">
        <is>
          <t>Indexed INWO Book, Groups section</t>
        </is>
      </c>
      <c r="AC108" t="inlineStr">
        <is>
          <t>FUNCTIONALLY COMPLETE</t>
        </is>
      </c>
      <c r="AE108" t="inlineStr">
        <is>
          <t>Indexed INWO Book / historical cross-check</t>
        </is>
      </c>
      <c r="AF108" t="inlineStr">
        <is>
          <t>EXACT EDGE POSITIONS VERIFIED</t>
        </is>
      </c>
      <c r="AG108" t="inlineStr">
        <is>
          <t>Verified from supplied original-card scan: Groups/INWO - Phone Phreaks.png. Triangle orientation establishes IN=TOP, OUT=NONE.</t>
        </is>
      </c>
      <c r="AH108" t="inlineStr">
        <is>
          <t>TOP</t>
        </is>
      </c>
      <c r="AI108" t="inlineStr">
        <is>
          <t>NONE</t>
        </is>
      </c>
      <c r="AJ108" t="inlineStr">
        <is>
          <t>VERIFIED</t>
        </is>
      </c>
      <c r="AK108" t="inlineStr">
        <is>
          <t>Verified from supplied original-card scan: Groups/INWO - Phone Phreaks.png. Triangle orientation establishes IN=TOP, OUT=NONE.</t>
        </is>
      </c>
    </row>
    <row r="109" ht="34" customHeight="1" s="16">
      <c r="A109" s="20" t="inlineStr">
        <is>
          <t>Pollsters</t>
        </is>
      </c>
      <c r="B109" s="20" t="inlineStr">
        <is>
          <t>Group</t>
        </is>
      </c>
      <c r="C109" s="20" t="inlineStr">
        <is>
          <t>Organization</t>
        </is>
      </c>
      <c r="D109" s="20" t="inlineStr">
        <is>
          <t>Rare</t>
        </is>
      </c>
      <c r="E109" s="20" t="inlineStr">
        <is>
          <t>2/2</t>
        </is>
      </c>
      <c r="F109" s="20" t="inlineStr">
        <is>
          <t>4</t>
        </is>
      </c>
      <c r="G109" s="20" t="inlineStr">
        <is>
          <t>None</t>
        </is>
      </c>
      <c r="H109" s="20" t="inlineStr">
        <is>
          <t>Media</t>
        </is>
      </c>
      <c r="I109" s="20" t="inlineStr">
        <is>
          <t>When involved in an attack, ignore attacker/defender alignment modifiers that would hurt your side.</t>
        </is>
      </c>
      <c r="J109" s="20" t="inlineStr">
        <is>
          <t>Needs rules-engine encoding</t>
        </is>
      </c>
      <c r="K109" s="20" t="inlineStr">
        <is>
          <t>High</t>
        </is>
      </c>
      <c r="L109" s="20" t="inlineStr">
        <is>
          <t>Mechanics and outgoing-arrow count checked against the printed card; described in our own words. Exact physical edge placement tracked separately.</t>
        </is>
      </c>
      <c r="M109" s="20" t="inlineStr">
        <is>
          <t>https://www.scribd.com/document/851089808/TheINWOBook</t>
        </is>
      </c>
      <c r="N109" t="inlineStr">
        <is>
          <t>Passive or activated special ability</t>
        </is>
      </c>
      <c r="O109" t="inlineStr">
        <is>
          <t>Per card ability</t>
        </is>
      </c>
      <c r="Q109" t="inlineStr">
        <is>
          <t>While controlled / per effect</t>
        </is>
      </c>
      <c r="R109" t="inlineStr">
        <is>
          <t>When involved in an attack, ignore attacker/defender alignment modifiers that would hurt your side.</t>
        </is>
      </c>
      <c r="S109" t="inlineStr">
        <is>
          <t>NO</t>
        </is>
      </c>
      <c r="T109" t="inlineStr">
        <is>
          <t>1 incoming control arrow</t>
        </is>
      </c>
      <c r="U109" t="n">
        <v>1</v>
      </c>
      <c r="V109" t="inlineStr">
        <is>
          <t>N/A — INWO uses Plots instead of group income/money</t>
        </is>
      </c>
      <c r="W109" t="inlineStr">
        <is>
          <t>Standard: 1 action token (Illuminati: 1 Illuminati action); verified mechanics state no override</t>
        </is>
      </c>
      <c r="X109" t="inlineStr">
        <is>
          <t>One copy in play at a time; spare copies act as hidden agents vs. a rival's copy; a destroyed Group cannot be replayed unless a card returns it (base rule)</t>
        </is>
      </c>
      <c r="Y109" t="inlineStr">
        <is>
          <t>None beyond base rules (verified mechanics state no override)</t>
        </is>
      </c>
      <c r="Z109" t="inlineStr">
        <is>
          <t>Standard response window (verified mechanics state no override)</t>
        </is>
      </c>
      <c r="AA109" t="inlineStr">
        <is>
          <t>Specific card overrides general rules</t>
        </is>
      </c>
      <c r="AB109" t="inlineStr">
        <is>
          <t>Indexed INWO Book, Groups section</t>
        </is>
      </c>
      <c r="AC109" t="inlineStr">
        <is>
          <t>FUNCTIONALLY COMPLETE</t>
        </is>
      </c>
      <c r="AE109" t="inlineStr">
        <is>
          <t>Indexed INWO Book / historical cross-check</t>
        </is>
      </c>
      <c r="AF109" t="inlineStr">
        <is>
          <t>EXACT EDGE POSITIONS VERIFIED</t>
        </is>
      </c>
      <c r="AG109" t="inlineStr">
        <is>
          <t>Verified from supplied original-card scan: Groups/INWO - Pollsters.png. Triangle orientation establishes IN=TOP, OUT=RIGHT.</t>
        </is>
      </c>
      <c r="AH109" t="inlineStr">
        <is>
          <t>TOP</t>
        </is>
      </c>
      <c r="AI109" t="inlineStr">
        <is>
          <t>RIGHT</t>
        </is>
      </c>
      <c r="AJ109" t="inlineStr">
        <is>
          <t>VERIFIED</t>
        </is>
      </c>
      <c r="AK109" t="inlineStr">
        <is>
          <t>Verified from supplied original-card scan: Groups/INWO - Pollsters.png. Triangle orientation establishes IN=TOP, OUT=RIGHT.</t>
        </is>
      </c>
    </row>
    <row r="110" ht="34" customHeight="1" s="16">
      <c r="A110" s="20" t="inlineStr">
        <is>
          <t>Post Office</t>
        </is>
      </c>
      <c r="B110" s="20" t="inlineStr">
        <is>
          <t>Group</t>
        </is>
      </c>
      <c r="C110" s="20" t="inlineStr">
        <is>
          <t>Organization</t>
        </is>
      </c>
      <c r="D110" s="20" t="inlineStr">
        <is>
          <t>Common</t>
        </is>
      </c>
      <c r="E110" s="20" t="inlineStr">
        <is>
          <t>4/3</t>
        </is>
      </c>
      <c r="F110" s="20" t="inlineStr">
        <is>
          <t>3</t>
        </is>
      </c>
      <c r="G110" s="20" t="inlineStr">
        <is>
          <t>Government</t>
        </is>
      </c>
      <c r="H110" s="20" t="inlineStr">
        <is>
          <t>Computer</t>
        </is>
      </c>
      <c r="I110" s="20" t="inlineStr">
        <is>
          <t>On your turn, freely inspect two random Group cards in a rival hand; as an action, expose two random rival Group cards.</t>
        </is>
      </c>
      <c r="J110" s="20" t="inlineStr">
        <is>
          <t>Needs rules-engine encoding</t>
        </is>
      </c>
      <c r="K110" s="20" t="inlineStr">
        <is>
          <t>High</t>
        </is>
      </c>
      <c r="L110" s="20" t="inlineStr">
        <is>
          <t>Mechanics and outgoing-arrow count checked against the printed card; described in our own words. Exact physical edge placement tracked separately.</t>
        </is>
      </c>
      <c r="M110" s="20" t="inlineStr">
        <is>
          <t>https://www.scribd.com/document/851089808/TheINWOBook</t>
        </is>
      </c>
      <c r="N110" t="inlineStr">
        <is>
          <t>Passive or activated special ability</t>
        </is>
      </c>
      <c r="O110" t="inlineStr">
        <is>
          <t>Per card ability</t>
        </is>
      </c>
      <c r="Q110" t="inlineStr">
        <is>
          <t>While controlled / per effect</t>
        </is>
      </c>
      <c r="R110" t="inlineStr">
        <is>
          <t>On your turn, freely inspect two random Group cards in a rival hand; as an action, expose two random rival Group cards.</t>
        </is>
      </c>
      <c r="S110" t="inlineStr">
        <is>
          <t>NO</t>
        </is>
      </c>
      <c r="T110" t="inlineStr">
        <is>
          <t>1 incoming control arrow</t>
        </is>
      </c>
      <c r="U110" t="n">
        <v>1</v>
      </c>
      <c r="V110" t="inlineStr">
        <is>
          <t>N/A — INWO uses Plots instead of group income/money</t>
        </is>
      </c>
      <c r="W110" t="inlineStr">
        <is>
          <t>Standard: 1 action token (Illuminati: 1 Illuminati action); verified mechanics state no override</t>
        </is>
      </c>
      <c r="X110" t="inlineStr">
        <is>
          <t>One copy in play at a time; spare copies act as hidden agents vs. a rival's copy; a destroyed Group cannot be replayed unless a card returns it (base rule)</t>
        </is>
      </c>
      <c r="Y110" t="inlineStr">
        <is>
          <t>None beyond base rules (verified mechanics state no override)</t>
        </is>
      </c>
      <c r="Z110" t="inlineStr">
        <is>
          <t>Standard response window (verified mechanics state no override)</t>
        </is>
      </c>
      <c r="AA110" t="inlineStr">
        <is>
          <t>Specific card overrides general rules</t>
        </is>
      </c>
      <c r="AB110" t="inlineStr">
        <is>
          <t>Indexed INWO Book, Groups section</t>
        </is>
      </c>
      <c r="AC110" t="inlineStr">
        <is>
          <t>FUNCTIONALLY COMPLETE</t>
        </is>
      </c>
      <c r="AE110" t="inlineStr">
        <is>
          <t>Indexed INWO Book / historical cross-check</t>
        </is>
      </c>
      <c r="AF110" t="inlineStr">
        <is>
          <t>EXACT EDGE POSITIONS VERIFIED</t>
        </is>
      </c>
      <c r="AG110" t="inlineStr">
        <is>
          <t>Verified from supplied original-card scan: Groups/INWO - Post Office.png. Triangle orientation establishes IN=TOP, OUT=BOTTOM.</t>
        </is>
      </c>
      <c r="AH110" t="inlineStr">
        <is>
          <t>TOP</t>
        </is>
      </c>
      <c r="AI110" t="inlineStr">
        <is>
          <t>BOTTOM</t>
        </is>
      </c>
      <c r="AJ110" t="inlineStr">
        <is>
          <t>VERIFIED</t>
        </is>
      </c>
      <c r="AK110" t="inlineStr">
        <is>
          <t>Verified from supplied original-card scan: Groups/INWO - Post Office.png. Triangle orientation establishes IN=TOP, OUT=BOTTOM.</t>
        </is>
      </c>
    </row>
    <row r="111" ht="34" customHeight="1" s="16">
      <c r="A111" s="20" t="inlineStr">
        <is>
          <t>Professional Sports</t>
        </is>
      </c>
      <c r="B111" s="20" t="inlineStr">
        <is>
          <t>Group</t>
        </is>
      </c>
      <c r="C111" s="20" t="inlineStr">
        <is>
          <t>Organization</t>
        </is>
      </c>
      <c r="D111" s="20" t="inlineStr">
        <is>
          <t>Uncommon</t>
        </is>
      </c>
      <c r="E111" s="20" t="inlineStr">
        <is>
          <t>2</t>
        </is>
      </c>
      <c r="F111" s="20" t="inlineStr">
        <is>
          <t>4</t>
        </is>
      </c>
      <c r="G111" s="20" t="inlineStr">
        <is>
          <t>Violent, Fanatic</t>
        </is>
      </c>
      <c r="H111" s="20" t="str"/>
      <c r="I111" s="20" t="inlineStr">
        <is>
          <t>+4 on any control attempt against a Straight group; may be linked to any one Personality you control, which then gets +3 Power.</t>
        </is>
      </c>
      <c r="J111" s="20" t="inlineStr">
        <is>
          <t>Needs rules-engine encoding</t>
        </is>
      </c>
      <c r="K111" s="20" t="inlineStr">
        <is>
          <t>High</t>
        </is>
      </c>
      <c r="L111" s="20" t="inlineStr">
        <is>
          <t>Mechanics and outgoing-arrow count checked against the printed card; described in our own words. Exact physical edge placement tracked separately.</t>
        </is>
      </c>
      <c r="M111" s="20" t="inlineStr">
        <is>
          <t>https://www.scribd.com/document/851089808/TheINWOBook</t>
        </is>
      </c>
      <c r="N111" t="inlineStr">
        <is>
          <t>Passive or activated special ability</t>
        </is>
      </c>
      <c r="O111" t="inlineStr">
        <is>
          <t>Per card ability</t>
        </is>
      </c>
      <c r="Q111" t="inlineStr">
        <is>
          <t>While controlled / per effect</t>
        </is>
      </c>
      <c r="R111" t="inlineStr">
        <is>
          <t>+4 on any control attempt against a Straight group; may be linked to any one Personality you control, which then gets +3 Power.</t>
        </is>
      </c>
      <c r="S111" t="inlineStr">
        <is>
          <t>NO</t>
        </is>
      </c>
      <c r="T111" t="inlineStr">
        <is>
          <t>1 incoming control arrow</t>
        </is>
      </c>
      <c r="U111" t="n">
        <v>2</v>
      </c>
      <c r="V111" t="inlineStr">
        <is>
          <t>N/A — INWO uses Plots instead of group income/money</t>
        </is>
      </c>
      <c r="W111" t="inlineStr">
        <is>
          <t>Standard: 1 action token (Illuminati: 1 Illuminati action); verified mechanics state no override</t>
        </is>
      </c>
      <c r="X111" t="inlineStr">
        <is>
          <t>One copy in play at a time; spare copies act as hidden agents vs. a rival's copy; a destroyed Group cannot be replayed unless a card returns it (base rule)</t>
        </is>
      </c>
      <c r="Y111" t="inlineStr">
        <is>
          <t>None beyond base rules (verified mechanics state no override)</t>
        </is>
      </c>
      <c r="Z111" t="inlineStr">
        <is>
          <t>Standard response window (verified mechanics state no override)</t>
        </is>
      </c>
      <c r="AA111" t="inlineStr">
        <is>
          <t>Specific card overrides general rules</t>
        </is>
      </c>
      <c r="AB111" t="inlineStr">
        <is>
          <t>Indexed INWO Book, Groups section</t>
        </is>
      </c>
      <c r="AC111" t="inlineStr">
        <is>
          <t>FUNCTIONALLY COMPLETE</t>
        </is>
      </c>
      <c r="AE111" t="inlineStr">
        <is>
          <t>Indexed INWO Book / historical cross-check</t>
        </is>
      </c>
      <c r="AF111" t="inlineStr">
        <is>
          <t>EXACT EDGE POSITIONS VERIFIED</t>
        </is>
      </c>
      <c r="AG111" t="inlineStr">
        <is>
          <t>Verified from supplied original-card scan: Groups/INWO - Professional Sports.png. Triangle orientation establishes IN=TOP, OUT=LEFT, RIGHT.</t>
        </is>
      </c>
      <c r="AH111" t="inlineStr">
        <is>
          <t>TOP</t>
        </is>
      </c>
      <c r="AI111" t="inlineStr">
        <is>
          <t>LEFT, RIGHT</t>
        </is>
      </c>
      <c r="AJ111" t="inlineStr">
        <is>
          <t>VERIFIED</t>
        </is>
      </c>
      <c r="AK111" t="inlineStr">
        <is>
          <t>Verified from supplied original-card scan: Groups/INWO - Professional Sports.png. Triangle orientation establishes IN=TOP, OUT=LEFT, RIGHT.</t>
        </is>
      </c>
    </row>
    <row r="112" ht="34" customHeight="1" s="16">
      <c r="A112" s="20" t="inlineStr">
        <is>
          <t>Psychiatrists</t>
        </is>
      </c>
      <c r="B112" s="20" t="inlineStr">
        <is>
          <t>Group</t>
        </is>
      </c>
      <c r="C112" s="20" t="inlineStr">
        <is>
          <t>Organization</t>
        </is>
      </c>
      <c r="D112" s="20" t="inlineStr">
        <is>
          <t>Uncommon</t>
        </is>
      </c>
      <c r="E112" s="20" t="inlineStr">
        <is>
          <t>2/2</t>
        </is>
      </c>
      <c r="F112" s="20" t="inlineStr">
        <is>
          <t>6</t>
        </is>
      </c>
      <c r="G112" s="20" t="inlineStr">
        <is>
          <t>Weird</t>
        </is>
      </c>
      <c r="H112" s="20" t="str"/>
      <c r="I112" s="20" t="inlineStr">
        <is>
          <t>Every attack of yours to destroy a Personality gets +6, unless the attack is privileged; as an action force a rival to discard one exposed non-Goal Plot.</t>
        </is>
      </c>
      <c r="J112" s="20" t="inlineStr">
        <is>
          <t>Needs rules-engine encoding</t>
        </is>
      </c>
      <c r="K112" s="20" t="inlineStr">
        <is>
          <t>High</t>
        </is>
      </c>
      <c r="L112" s="20" t="inlineStr">
        <is>
          <t>Mechanics and outgoing-arrow count checked against the printed card; described in our own words. Exact physical edge placement tracked separately.</t>
        </is>
      </c>
      <c r="M112" s="20" t="inlineStr">
        <is>
          <t>https://www.scribd.com/document/851089808/TheINWOBook</t>
        </is>
      </c>
      <c r="N112" t="inlineStr">
        <is>
          <t>Passive or activated special ability</t>
        </is>
      </c>
      <c r="O112" t="inlineStr">
        <is>
          <t>Per card ability</t>
        </is>
      </c>
      <c r="Q112" t="inlineStr">
        <is>
          <t>While controlled / per effect</t>
        </is>
      </c>
      <c r="R112" t="inlineStr">
        <is>
          <t>Every attack of yours to destroy a Personality gets +6, unless the attack is privileged; as an action force a rival to discard one exposed non-Goal Plot.</t>
        </is>
      </c>
      <c r="S112" t="inlineStr">
        <is>
          <t>NO</t>
        </is>
      </c>
      <c r="T112" t="inlineStr">
        <is>
          <t>1 incoming control arrow</t>
        </is>
      </c>
      <c r="U112" t="n">
        <v>0</v>
      </c>
      <c r="V112" t="inlineStr">
        <is>
          <t>N/A — INWO uses Plots instead of group income/money</t>
        </is>
      </c>
      <c r="W112" t="inlineStr">
        <is>
          <t>Standard: 1 action token (Illuminati: 1 Illuminati action); verified mechanics state no override</t>
        </is>
      </c>
      <c r="X112" t="inlineStr">
        <is>
          <t>One copy in play at a time; spare copies act as hidden agents vs. a rival's copy; a destroyed Group cannot be replayed unless a card returns it (base rule)</t>
        </is>
      </c>
      <c r="Y112" t="inlineStr">
        <is>
          <t>None beyond base rules (verified mechanics state no override)</t>
        </is>
      </c>
      <c r="Z112" t="inlineStr">
        <is>
          <t>Standard response window (verified mechanics state no override)</t>
        </is>
      </c>
      <c r="AA112" t="inlineStr">
        <is>
          <t>Specific card overrides general rules</t>
        </is>
      </c>
      <c r="AB112" t="inlineStr">
        <is>
          <t>Indexed INWO Book, Groups section</t>
        </is>
      </c>
      <c r="AC112" t="inlineStr">
        <is>
          <t>FUNCTIONALLY COMPLETE</t>
        </is>
      </c>
      <c r="AE112" t="inlineStr">
        <is>
          <t>Indexed INWO Book / historical cross-check</t>
        </is>
      </c>
      <c r="AF112" t="inlineStr">
        <is>
          <t>EXACT EDGE POSITIONS VERIFIED</t>
        </is>
      </c>
      <c r="AG112" t="inlineStr">
        <is>
          <t>Verified from supplied original-card scan: Groups/INWO - Psychiatrists.png. Triangle orientation establishes IN=TOP, OUT=NONE.</t>
        </is>
      </c>
      <c r="AH112" t="inlineStr">
        <is>
          <t>TOP</t>
        </is>
      </c>
      <c r="AI112" t="inlineStr">
        <is>
          <t>NONE</t>
        </is>
      </c>
      <c r="AJ112" t="inlineStr">
        <is>
          <t>VERIFIED</t>
        </is>
      </c>
      <c r="AK112" t="inlineStr">
        <is>
          <t>Verified from supplied original-card scan: Groups/INWO - Psychiatrists.png. Triangle orientation establishes IN=TOP, OUT=NONE.</t>
        </is>
      </c>
    </row>
    <row r="113" ht="34" customHeight="1" s="16">
      <c r="A113" s="20" t="inlineStr">
        <is>
          <t>Punk Rockers</t>
        </is>
      </c>
      <c r="B113" s="20" t="inlineStr">
        <is>
          <t>Group</t>
        </is>
      </c>
      <c r="C113" s="20" t="inlineStr">
        <is>
          <t>Organization</t>
        </is>
      </c>
      <c r="D113" s="20" t="inlineStr">
        <is>
          <t>Common</t>
        </is>
      </c>
      <c r="E113" s="20" t="inlineStr">
        <is>
          <t>1</t>
        </is>
      </c>
      <c r="F113" s="20" t="inlineStr">
        <is>
          <t>4</t>
        </is>
      </c>
      <c r="G113" s="20" t="inlineStr">
        <is>
          <t>Weird</t>
        </is>
      </c>
      <c r="H113" s="20" t="inlineStr">
        <is>
          <t>Media</t>
        </is>
      </c>
      <c r="I113" s="20" t="inlineStr">
        <is>
          <t>If their Power is part of an attack, on either side, the target cannot receive aid from Weird or Liberal groups.</t>
        </is>
      </c>
      <c r="J113" s="20" t="inlineStr">
        <is>
          <t>Needs rules-engine encoding</t>
        </is>
      </c>
      <c r="K113" s="20" t="inlineStr">
        <is>
          <t>High</t>
        </is>
      </c>
      <c r="L113" s="20" t="inlineStr">
        <is>
          <t>Mechanics and outgoing-arrow count checked against the printed card; described in our own words. Exact physical edge placement tracked separately.</t>
        </is>
      </c>
      <c r="M113" s="20" t="inlineStr">
        <is>
          <t>https://www.scribd.com/document/851089808/TheINWOBook</t>
        </is>
      </c>
      <c r="N113" t="inlineStr">
        <is>
          <t>Passive or activated special ability</t>
        </is>
      </c>
      <c r="O113" t="inlineStr">
        <is>
          <t>Per card ability</t>
        </is>
      </c>
      <c r="Q113" t="inlineStr">
        <is>
          <t>While controlled / per effect</t>
        </is>
      </c>
      <c r="R113" t="inlineStr">
        <is>
          <t>If their Power is part of an attack, on either side, the target cannot receive aid from Weird or Liberal groups.</t>
        </is>
      </c>
      <c r="S113" t="inlineStr">
        <is>
          <t>NO</t>
        </is>
      </c>
      <c r="T113" t="inlineStr">
        <is>
          <t>1 incoming control arrow</t>
        </is>
      </c>
      <c r="U113" t="n">
        <v>0</v>
      </c>
      <c r="V113" t="inlineStr">
        <is>
          <t>N/A — INWO uses Plots instead of group income/money</t>
        </is>
      </c>
      <c r="W113" t="inlineStr">
        <is>
          <t>Standard: 1 action token (Illuminati: 1 Illuminati action); verified mechanics state no override</t>
        </is>
      </c>
      <c r="X113" t="inlineStr">
        <is>
          <t>One copy in play at a time; spare copies act as hidden agents vs. a rival's copy; a destroyed Group cannot be replayed unless a card returns it (base rule)</t>
        </is>
      </c>
      <c r="Y113" t="inlineStr">
        <is>
          <t>None beyond base rules (verified mechanics state no override)</t>
        </is>
      </c>
      <c r="Z113" t="inlineStr">
        <is>
          <t>Standard response window (verified mechanics state no override)</t>
        </is>
      </c>
      <c r="AA113" t="inlineStr">
        <is>
          <t>Specific card overrides general rules</t>
        </is>
      </c>
      <c r="AB113" t="inlineStr">
        <is>
          <t>Indexed INWO Book, Groups section</t>
        </is>
      </c>
      <c r="AC113" t="inlineStr">
        <is>
          <t>FUNCTIONALLY COMPLETE</t>
        </is>
      </c>
      <c r="AE113" t="inlineStr">
        <is>
          <t>Indexed INWO Book / historical cross-check</t>
        </is>
      </c>
      <c r="AF113" t="inlineStr">
        <is>
          <t>EXACT EDGE POSITIONS VERIFIED</t>
        </is>
      </c>
      <c r="AG113" t="inlineStr">
        <is>
          <t>Verified from supplied original-card scan: Groups/INWO - Punk Rockers.png. Triangle orientation establishes IN=TOP, OUT=NONE.</t>
        </is>
      </c>
      <c r="AH113" t="inlineStr">
        <is>
          <t>TOP</t>
        </is>
      </c>
      <c r="AI113" t="inlineStr">
        <is>
          <t>NONE</t>
        </is>
      </c>
      <c r="AJ113" t="inlineStr">
        <is>
          <t>VERIFIED</t>
        </is>
      </c>
      <c r="AK113" t="inlineStr">
        <is>
          <t>Verified from supplied original-card scan: Groups/INWO - Punk Rockers.png. Triangle orientation establishes IN=TOP, OUT=NONE.</t>
        </is>
      </c>
    </row>
    <row r="114" ht="34" customHeight="1" s="16">
      <c r="A114" s="20" t="inlineStr">
        <is>
          <t>Recording Industry</t>
        </is>
      </c>
      <c r="B114" s="20" t="inlineStr">
        <is>
          <t>Group</t>
        </is>
      </c>
      <c r="C114" s="20" t="inlineStr">
        <is>
          <t>Organization</t>
        </is>
      </c>
      <c r="D114" s="20" t="inlineStr">
        <is>
          <t>Common</t>
        </is>
      </c>
      <c r="E114" s="20" t="inlineStr">
        <is>
          <t>2</t>
        </is>
      </c>
      <c r="F114" s="20" t="inlineStr">
        <is>
          <t>1</t>
        </is>
      </c>
      <c r="G114" s="20" t="inlineStr">
        <is>
          <t>Corporate</t>
        </is>
      </c>
      <c r="H114" s="20" t="inlineStr">
        <is>
          <t>Media</t>
        </is>
      </c>
      <c r="I114" s="20" t="inlineStr">
        <is>
          <t>Your Media Personalities get +2 Power; your other Personalities get +1 Power.</t>
        </is>
      </c>
      <c r="J114" s="20" t="inlineStr">
        <is>
          <t>Needs rules-engine encoding</t>
        </is>
      </c>
      <c r="K114" s="20" t="inlineStr">
        <is>
          <t>High</t>
        </is>
      </c>
      <c r="L114" s="20" t="inlineStr">
        <is>
          <t>Mechanics and outgoing-arrow count checked against the printed card; described in our own words. Exact physical edge placement tracked separately.</t>
        </is>
      </c>
      <c r="M114" s="20" t="inlineStr">
        <is>
          <t>https://www.scribd.com/document/851089808/TheINWOBook</t>
        </is>
      </c>
      <c r="N114" t="inlineStr">
        <is>
          <t>Passive or activated special ability</t>
        </is>
      </c>
      <c r="O114" t="inlineStr">
        <is>
          <t>Per card ability</t>
        </is>
      </c>
      <c r="Q114" t="inlineStr">
        <is>
          <t>While controlled / per effect</t>
        </is>
      </c>
      <c r="R114" t="inlineStr">
        <is>
          <t>Your Media Personalities get +2 Power; your other Personalities get +1 Power.</t>
        </is>
      </c>
      <c r="S114" t="inlineStr">
        <is>
          <t>NO</t>
        </is>
      </c>
      <c r="T114" t="inlineStr">
        <is>
          <t>1 incoming control arrow</t>
        </is>
      </c>
      <c r="U114" t="n">
        <v>2</v>
      </c>
      <c r="V114" t="inlineStr">
        <is>
          <t>N/A — INWO uses Plots instead of group income/money</t>
        </is>
      </c>
      <c r="W114" t="inlineStr">
        <is>
          <t>Standard: 1 action token (Illuminati: 1 Illuminati action); verified mechanics state no override</t>
        </is>
      </c>
      <c r="X114" t="inlineStr">
        <is>
          <t>One copy in play at a time; spare copies act as hidden agents vs. a rival's copy; a destroyed Group cannot be replayed unless a card returns it (base rule)</t>
        </is>
      </c>
      <c r="Y114" t="inlineStr">
        <is>
          <t>None beyond base rules (verified mechanics state no override)</t>
        </is>
      </c>
      <c r="Z114" t="inlineStr">
        <is>
          <t>Standard response window (verified mechanics state no override)</t>
        </is>
      </c>
      <c r="AA114" t="inlineStr">
        <is>
          <t>Specific card overrides general rules</t>
        </is>
      </c>
      <c r="AB114" t="inlineStr">
        <is>
          <t>Indexed INWO Book, Groups section</t>
        </is>
      </c>
      <c r="AC114" t="inlineStr">
        <is>
          <t>FUNCTIONALLY COMPLETE</t>
        </is>
      </c>
      <c r="AE114" t="inlineStr">
        <is>
          <t>Indexed INWO Book / historical cross-check</t>
        </is>
      </c>
      <c r="AF114" t="inlineStr">
        <is>
          <t>EXACT EDGE POSITIONS VERIFIED</t>
        </is>
      </c>
      <c r="AG114" t="inlineStr">
        <is>
          <t>Verified from supplied original-card scan: Groups/INWO - Recording Industry.png. Triangle orientation establishes IN=BOTTOM, OUT=TOP, LEFT.</t>
        </is>
      </c>
      <c r="AH114" t="inlineStr">
        <is>
          <t>BOTTOM</t>
        </is>
      </c>
      <c r="AI114" t="inlineStr">
        <is>
          <t>TOP, LEFT</t>
        </is>
      </c>
      <c r="AJ114" t="inlineStr">
        <is>
          <t>VERIFIED</t>
        </is>
      </c>
      <c r="AK114" t="inlineStr">
        <is>
          <t>Verified from supplied original-card scan: Groups/INWO - Recording Industry.png. Triangle orientation establishes IN=BOTTOM, OUT=TOP, LEFT.</t>
        </is>
      </c>
    </row>
    <row r="115" ht="34" customHeight="1" s="16">
      <c r="A115" s="20" t="inlineStr">
        <is>
          <t>Red Cross</t>
        </is>
      </c>
      <c r="B115" s="20" t="inlineStr">
        <is>
          <t>Group</t>
        </is>
      </c>
      <c r="C115" s="20" t="inlineStr">
        <is>
          <t>Organization</t>
        </is>
      </c>
      <c r="D115" s="20" t="inlineStr">
        <is>
          <t>Rare</t>
        </is>
      </c>
      <c r="E115" s="20" t="inlineStr">
        <is>
          <t>2</t>
        </is>
      </c>
      <c r="F115" s="20" t="inlineStr">
        <is>
          <t>4</t>
        </is>
      </c>
      <c r="G115" s="20" t="inlineStr">
        <is>
          <t>Peaceful</t>
        </is>
      </c>
      <c r="H115" s="20" t="str"/>
      <c r="I115" s="20" t="inlineStr">
        <is>
          <t>Your Power Structure gets +6 against Disasters; its master receives automatic Relief after devastation; as an action Relief one Place; attempts to destroy Red Cross are -15.</t>
        </is>
      </c>
      <c r="J115" s="20" t="inlineStr">
        <is>
          <t>Needs rules-engine encoding</t>
        </is>
      </c>
      <c r="K115" s="20" t="inlineStr">
        <is>
          <t>High</t>
        </is>
      </c>
      <c r="L115" s="20" t="inlineStr">
        <is>
          <t>Mechanics and outgoing-arrow count checked against the printed card; described in our own words. Exact physical edge placement tracked separately.</t>
        </is>
      </c>
      <c r="M115" s="20" t="inlineStr">
        <is>
          <t>https://www.scribd.com/document/851089808/TheINWOBook</t>
        </is>
      </c>
      <c r="N115" t="inlineStr">
        <is>
          <t>Passive or activated special ability</t>
        </is>
      </c>
      <c r="O115" t="inlineStr">
        <is>
          <t>Per card ability</t>
        </is>
      </c>
      <c r="Q115" t="inlineStr">
        <is>
          <t>While controlled / per effect</t>
        </is>
      </c>
      <c r="R115" t="inlineStr">
        <is>
          <t>Your Power Structure gets +6 against Disasters; its master receives automatic Relief after devastation; as an action Relief one Place; attempts to destroy Red Cross are -15.</t>
        </is>
      </c>
      <c r="S115" t="inlineStr">
        <is>
          <t>NO</t>
        </is>
      </c>
      <c r="T115" t="inlineStr">
        <is>
          <t>1 incoming control arrow</t>
        </is>
      </c>
      <c r="U115" t="n">
        <v>2</v>
      </c>
      <c r="V115" t="inlineStr">
        <is>
          <t>N/A — INWO uses Plots instead of group income/money</t>
        </is>
      </c>
      <c r="W115" t="inlineStr">
        <is>
          <t>Standard: 1 action token (Illuminati: 1 Illuminati action); verified mechanics state no override</t>
        </is>
      </c>
      <c r="X115" t="inlineStr">
        <is>
          <t>One copy in play at a time; spare copies act as hidden agents vs. a rival's copy; a destroyed Group cannot be replayed unless a card returns it (base rule)</t>
        </is>
      </c>
      <c r="Y115" t="inlineStr">
        <is>
          <t>None beyond base rules (verified mechanics state no override)</t>
        </is>
      </c>
      <c r="Z115" t="inlineStr">
        <is>
          <t>Standard response window (verified mechanics state no override)</t>
        </is>
      </c>
      <c r="AA115" t="inlineStr">
        <is>
          <t>Specific card overrides general rules</t>
        </is>
      </c>
      <c r="AB115" t="inlineStr">
        <is>
          <t>Indexed INWO Book, Groups section</t>
        </is>
      </c>
      <c r="AC115" t="inlineStr">
        <is>
          <t>FUNCTIONALLY COMPLETE</t>
        </is>
      </c>
      <c r="AE115" t="inlineStr">
        <is>
          <t>Indexed INWO Book / historical cross-check</t>
        </is>
      </c>
      <c r="AF115" t="inlineStr">
        <is>
          <t>EXACT EDGE POSITIONS VERIFIED</t>
        </is>
      </c>
      <c r="AG115" t="inlineStr">
        <is>
          <t>Verified from supplied original-card scan: Groups/INWO - Red Cross.png. Triangle orientation establishes IN=BOTTOM, OUT=TOP, RIGHT.</t>
        </is>
      </c>
      <c r="AH115" t="inlineStr">
        <is>
          <t>BOTTOM</t>
        </is>
      </c>
      <c r="AI115" t="inlineStr">
        <is>
          <t>TOP, RIGHT</t>
        </is>
      </c>
      <c r="AJ115" t="inlineStr">
        <is>
          <t>VERIFIED</t>
        </is>
      </c>
      <c r="AK115" t="inlineStr">
        <is>
          <t>Verified from supplied original-card scan: Groups/INWO - Red Cross.png. Triangle orientation establishes IN=BOTTOM, OUT=TOP, RIGHT.</t>
        </is>
      </c>
    </row>
    <row r="116" ht="34" customHeight="1" s="16">
      <c r="A116" s="20" t="inlineStr">
        <is>
          <t>Reformed Church of Satan</t>
        </is>
      </c>
      <c r="B116" s="20" t="inlineStr">
        <is>
          <t>Group</t>
        </is>
      </c>
      <c r="C116" s="20" t="inlineStr">
        <is>
          <t>Organization</t>
        </is>
      </c>
      <c r="D116" s="20" t="inlineStr">
        <is>
          <t>Uncommon</t>
        </is>
      </c>
      <c r="E116" s="20" t="inlineStr">
        <is>
          <t>2</t>
        </is>
      </c>
      <c r="F116" s="20" t="inlineStr">
        <is>
          <t>4</t>
        </is>
      </c>
      <c r="G116" s="20" t="inlineStr">
        <is>
          <t>Weird, Fanatic</t>
        </is>
      </c>
      <c r="H116" s="20" t="inlineStr">
        <is>
          <t>Magic, Church</t>
        </is>
      </c>
      <c r="I116" s="20" t="inlineStr">
        <is>
          <t>While controlled, Straight groups cannot attack or help attack your groups except this one; Straight groups may attack it only to destroy, and it gets +8 against Straight attacks.</t>
        </is>
      </c>
      <c r="J116" s="20" t="inlineStr">
        <is>
          <t>Needs rules-engine encoding</t>
        </is>
      </c>
      <c r="K116" s="20" t="inlineStr">
        <is>
          <t>High</t>
        </is>
      </c>
      <c r="L116" s="20" t="inlineStr">
        <is>
          <t>Mechanics and outgoing-arrow count checked against the printed card; described in our own words. Exact physical edge placement tracked separately.</t>
        </is>
      </c>
      <c r="M116" s="20" t="inlineStr">
        <is>
          <t>https://www.scribd.com/document/851089808/TheINWOBook</t>
        </is>
      </c>
      <c r="N116" t="inlineStr">
        <is>
          <t>Passive or activated special ability</t>
        </is>
      </c>
      <c r="O116" t="inlineStr">
        <is>
          <t>Per card ability</t>
        </is>
      </c>
      <c r="Q116" t="inlineStr">
        <is>
          <t>While controlled / per effect</t>
        </is>
      </c>
      <c r="R116" t="inlineStr">
        <is>
          <t>While controlled, Straight groups cannot attack or help attack your groups except this one; Straight groups may attack it only to destroy, and it gets +8 against Straight attacks.</t>
        </is>
      </c>
      <c r="S116" t="inlineStr">
        <is>
          <t>NO</t>
        </is>
      </c>
      <c r="T116" t="inlineStr">
        <is>
          <t>1 incoming control arrow</t>
        </is>
      </c>
      <c r="U116" t="n">
        <v>2</v>
      </c>
      <c r="V116" t="inlineStr">
        <is>
          <t>N/A — INWO uses Plots instead of group income/money</t>
        </is>
      </c>
      <c r="W116" t="inlineStr">
        <is>
          <t>Standard: 1 action token (Illuminati: 1 Illuminati action); verified mechanics state no override</t>
        </is>
      </c>
      <c r="X116" t="inlineStr">
        <is>
          <t>One copy in play at a time; spare copies act as hidden agents vs. a rival's copy; a destroyed Group cannot be replayed unless a card returns it (base rule)</t>
        </is>
      </c>
      <c r="Y116" t="inlineStr">
        <is>
          <t>None beyond base rules (verified mechanics state no override)</t>
        </is>
      </c>
      <c r="Z116" t="inlineStr">
        <is>
          <t>Standard response window (verified mechanics state no override)</t>
        </is>
      </c>
      <c r="AA116" t="inlineStr">
        <is>
          <t>Specific card overrides general rules</t>
        </is>
      </c>
      <c r="AB116" t="inlineStr">
        <is>
          <t>Indexed INWO Book, Groups section</t>
        </is>
      </c>
      <c r="AC116" t="inlineStr">
        <is>
          <t>FUNCTIONALLY COMPLETE</t>
        </is>
      </c>
      <c r="AE116" t="inlineStr">
        <is>
          <t>Indexed INWO Book / historical cross-check</t>
        </is>
      </c>
      <c r="AF116" t="inlineStr">
        <is>
          <t>EXACT EDGE POSITIONS VERIFIED</t>
        </is>
      </c>
      <c r="AG116" t="inlineStr">
        <is>
          <t>Verified from supplied original-card scan: Groups/INWO - Reformed Church of Satan.png. Triangle orientation establishes IN=TOP, OUT=LEFT, RIGHT.</t>
        </is>
      </c>
      <c r="AH116" t="inlineStr">
        <is>
          <t>TOP</t>
        </is>
      </c>
      <c r="AI116" t="inlineStr">
        <is>
          <t>LEFT, RIGHT</t>
        </is>
      </c>
      <c r="AJ116" t="inlineStr">
        <is>
          <t>VERIFIED</t>
        </is>
      </c>
      <c r="AK116" t="inlineStr">
        <is>
          <t>Verified from supplied original-card scan: Groups/INWO - Reformed Church of Satan.png. Triangle orientation establishes IN=TOP, OUT=LEFT, RIGHT.</t>
        </is>
      </c>
    </row>
    <row r="117" ht="34" customHeight="1" s="16">
      <c r="A117" s="20" t="inlineStr">
        <is>
          <t>Religious Reich</t>
        </is>
      </c>
      <c r="B117" s="20" t="inlineStr">
        <is>
          <t>Group</t>
        </is>
      </c>
      <c r="C117" s="20" t="inlineStr">
        <is>
          <t>Organization</t>
        </is>
      </c>
      <c r="D117" s="20" t="inlineStr">
        <is>
          <t>Common</t>
        </is>
      </c>
      <c r="E117" s="20" t="inlineStr">
        <is>
          <t>3/1</t>
        </is>
      </c>
      <c r="F117" s="20" t="inlineStr">
        <is>
          <t>5</t>
        </is>
      </c>
      <c r="G117" s="20" t="inlineStr">
        <is>
          <t>Straight, Conservative</t>
        </is>
      </c>
      <c r="H117" s="20" t="inlineStr">
        <is>
          <t>Church</t>
        </is>
      </c>
      <c r="I117" s="20" t="inlineStr">
        <is>
          <t>May interfere in privileged attacks made or aided by Straight or Conservative groups, ending the privilege.</t>
        </is>
      </c>
      <c r="J117" s="20" t="inlineStr">
        <is>
          <t>Needs rules-engine encoding</t>
        </is>
      </c>
      <c r="K117" s="20" t="inlineStr">
        <is>
          <t>High</t>
        </is>
      </c>
      <c r="L117" s="20" t="inlineStr">
        <is>
          <t>Mechanics and outgoing-arrow count checked against the printed card; described in our own words. Exact physical edge placement tracked separately.</t>
        </is>
      </c>
      <c r="M117" s="20" t="inlineStr">
        <is>
          <t>https://www.scribd.com/document/851089808/TheINWOBook</t>
        </is>
      </c>
      <c r="N117" t="inlineStr">
        <is>
          <t>Passive or activated special ability</t>
        </is>
      </c>
      <c r="O117" t="inlineStr">
        <is>
          <t>Per card ability</t>
        </is>
      </c>
      <c r="Q117" t="inlineStr">
        <is>
          <t>While controlled / per effect</t>
        </is>
      </c>
      <c r="R117" t="inlineStr">
        <is>
          <t>May interfere in privileged attacks made or aided by Straight or Conservative groups, ending the privilege.</t>
        </is>
      </c>
      <c r="S117" t="inlineStr">
        <is>
          <t>NO</t>
        </is>
      </c>
      <c r="T117" t="inlineStr">
        <is>
          <t>1 incoming control arrow</t>
        </is>
      </c>
      <c r="U117" t="n">
        <v>2</v>
      </c>
      <c r="V117" t="inlineStr">
        <is>
          <t>N/A — INWO uses Plots instead of group income/money</t>
        </is>
      </c>
      <c r="W117" t="inlineStr">
        <is>
          <t>Standard: 1 action token (Illuminati: 1 Illuminati action); verified mechanics state no override</t>
        </is>
      </c>
      <c r="X117" t="inlineStr">
        <is>
          <t>One copy in play at a time; spare copies act as hidden agents vs. a rival's copy; a destroyed Group cannot be replayed unless a card returns it (base rule)</t>
        </is>
      </c>
      <c r="Y117" t="inlineStr">
        <is>
          <t>None beyond base rules (verified mechanics state no override)</t>
        </is>
      </c>
      <c r="Z117" t="inlineStr">
        <is>
          <t>Standard response window (verified mechanics state no override)</t>
        </is>
      </c>
      <c r="AA117" t="inlineStr">
        <is>
          <t>Specific card overrides general rules</t>
        </is>
      </c>
      <c r="AB117" t="inlineStr">
        <is>
          <t>Indexed INWO Book, Groups section</t>
        </is>
      </c>
      <c r="AC117" t="inlineStr">
        <is>
          <t>FUNCTIONALLY COMPLETE</t>
        </is>
      </c>
      <c r="AE117" t="inlineStr">
        <is>
          <t>Indexed INWO Book / historical cross-check</t>
        </is>
      </c>
      <c r="AF117" t="inlineStr">
        <is>
          <t>EXACT EDGE POSITIONS VERIFIED</t>
        </is>
      </c>
      <c r="AG117" t="inlineStr">
        <is>
          <t>Verified from supplied original-card scan: Groups/INWO - Religious Reich.png. Triangle orientation establishes IN=TOP, OUT=BOTTOM, RIGHT.</t>
        </is>
      </c>
      <c r="AH117" t="inlineStr">
        <is>
          <t>TOP</t>
        </is>
      </c>
      <c r="AI117" t="inlineStr">
        <is>
          <t>BOTTOM, RIGHT</t>
        </is>
      </c>
      <c r="AJ117" t="inlineStr">
        <is>
          <t>VERIFIED</t>
        </is>
      </c>
      <c r="AK117" t="inlineStr">
        <is>
          <t>Verified from supplied original-card scan: Groups/INWO - Religious Reich.png. Triangle orientation establishes IN=TOP, OUT=BOTTOM, RIGHT.</t>
        </is>
      </c>
    </row>
    <row r="118" ht="34" customHeight="1" s="16">
      <c r="A118" s="20" t="inlineStr">
        <is>
          <t>Republicans</t>
        </is>
      </c>
      <c r="B118" s="20" t="inlineStr">
        <is>
          <t>Group</t>
        </is>
      </c>
      <c r="C118" s="20" t="inlineStr">
        <is>
          <t>Organization</t>
        </is>
      </c>
      <c r="D118" s="20" t="inlineStr">
        <is>
          <t>Uncommon</t>
        </is>
      </c>
      <c r="E118" s="20" t="inlineStr">
        <is>
          <t>5/4</t>
        </is>
      </c>
      <c r="F118" s="20" t="inlineStr">
        <is>
          <t>4</t>
        </is>
      </c>
      <c r="G118" s="20" t="inlineStr">
        <is>
          <t>Conservative</t>
        </is>
      </c>
      <c r="H118" s="20" t="str"/>
      <c r="I118" s="20" t="inlineStr">
        <is>
          <t>+5 direct control of Government groups that are not Nations.</t>
        </is>
      </c>
      <c r="J118" s="20" t="inlineStr">
        <is>
          <t>Needs rules-engine encoding</t>
        </is>
      </c>
      <c r="K118" s="20" t="inlineStr">
        <is>
          <t>High</t>
        </is>
      </c>
      <c r="L118" s="20" t="inlineStr">
        <is>
          <t>Mechanics and outgoing-arrow count checked against the printed card; described in our own words. Exact physical edge placement tracked separately.</t>
        </is>
      </c>
      <c r="M118" s="20" t="inlineStr">
        <is>
          <t>https://www.scribd.com/document/851089808/TheINWOBook</t>
        </is>
      </c>
      <c r="N118" t="inlineStr">
        <is>
          <t>Passive or activated special ability</t>
        </is>
      </c>
      <c r="O118" t="inlineStr">
        <is>
          <t>Per card ability</t>
        </is>
      </c>
      <c r="Q118" t="inlineStr">
        <is>
          <t>While controlled / per effect</t>
        </is>
      </c>
      <c r="R118" t="inlineStr">
        <is>
          <t>+5 direct control of Government groups that are not Nations.</t>
        </is>
      </c>
      <c r="S118" t="inlineStr">
        <is>
          <t>NO</t>
        </is>
      </c>
      <c r="T118" t="inlineStr">
        <is>
          <t>1 incoming control arrow</t>
        </is>
      </c>
      <c r="U118" t="n">
        <v>2</v>
      </c>
      <c r="V118" t="inlineStr">
        <is>
          <t>N/A — INWO uses Plots instead of group income/money</t>
        </is>
      </c>
      <c r="W118" t="inlineStr">
        <is>
          <t>Standard: 1 action token (Illuminati: 1 Illuminati action); verified mechanics state no override</t>
        </is>
      </c>
      <c r="X118" t="inlineStr">
        <is>
          <t>One copy in play at a time; spare copies act as hidden agents vs. a rival's copy; a destroyed Group cannot be replayed unless a card returns it (base rule)</t>
        </is>
      </c>
      <c r="Y118" t="inlineStr">
        <is>
          <t>None beyond base rules (verified mechanics state no override)</t>
        </is>
      </c>
      <c r="Z118" t="inlineStr">
        <is>
          <t>Standard response window (verified mechanics state no override)</t>
        </is>
      </c>
      <c r="AA118" t="inlineStr">
        <is>
          <t>Specific card overrides general rules</t>
        </is>
      </c>
      <c r="AB118" t="inlineStr">
        <is>
          <t>Indexed INWO Book, Groups section</t>
        </is>
      </c>
      <c r="AC118" t="inlineStr">
        <is>
          <t>FUNCTIONALLY COMPLETE</t>
        </is>
      </c>
      <c r="AE118" t="inlineStr">
        <is>
          <t>Indexed INWO Book / historical cross-check</t>
        </is>
      </c>
      <c r="AF118" t="inlineStr">
        <is>
          <t>EXACT EDGE POSITIONS VERIFIED</t>
        </is>
      </c>
      <c r="AG118" t="inlineStr">
        <is>
          <t>Verified from supplied original-card scan: Groups/INWO - Republicans.png. Triangle orientation establishes IN=TOP, OUT=BOTTOM, LEFT.</t>
        </is>
      </c>
      <c r="AH118" t="inlineStr">
        <is>
          <t>TOP</t>
        </is>
      </c>
      <c r="AI118" t="inlineStr">
        <is>
          <t>BOTTOM, LEFT</t>
        </is>
      </c>
      <c r="AJ118" t="inlineStr">
        <is>
          <t>VERIFIED</t>
        </is>
      </c>
      <c r="AK118" t="inlineStr">
        <is>
          <t>Verified from supplied original-card scan: Groups/INWO - Republicans.png. Triangle orientation establishes IN=TOP, OUT=BOTTOM, LEFT.</t>
        </is>
      </c>
    </row>
    <row r="119" ht="34" customHeight="1" s="16">
      <c r="A119" s="20" t="inlineStr">
        <is>
          <t>Rifkinites</t>
        </is>
      </c>
      <c r="B119" s="20" t="inlineStr">
        <is>
          <t>Group</t>
        </is>
      </c>
      <c r="C119" s="20" t="inlineStr">
        <is>
          <t>Organization</t>
        </is>
      </c>
      <c r="D119" s="20" t="inlineStr">
        <is>
          <t>Rare</t>
        </is>
      </c>
      <c r="E119" s="20" t="inlineStr">
        <is>
          <t>2</t>
        </is>
      </c>
      <c r="F119" s="20" t="inlineStr">
        <is>
          <t>4</t>
        </is>
      </c>
      <c r="G119" s="20" t="inlineStr">
        <is>
          <t>Fanatic</t>
        </is>
      </c>
      <c r="H119" s="20" t="inlineStr">
        <is>
          <t>Green</t>
        </is>
      </c>
      <c r="I119" s="20" t="inlineStr">
        <is>
          <t>+6 direct control of Green groups; +2 on any destruction attempt against a Corporate, Science, Space, or Computer target for each of those it is.</t>
        </is>
      </c>
      <c r="J119" s="20" t="inlineStr">
        <is>
          <t>Needs rules-engine encoding</t>
        </is>
      </c>
      <c r="K119" s="20" t="inlineStr">
        <is>
          <t>High</t>
        </is>
      </c>
      <c r="L119" s="20" t="inlineStr">
        <is>
          <t>Mechanics and outgoing-arrow count checked against the printed card; described in our own words. Exact physical edge placement tracked separately.</t>
        </is>
      </c>
      <c r="M119" s="20" t="inlineStr">
        <is>
          <t>https://www.scribd.com/document/851089808/TheINWOBook</t>
        </is>
      </c>
      <c r="N119" t="inlineStr">
        <is>
          <t>Passive or activated special ability</t>
        </is>
      </c>
      <c r="O119" t="inlineStr">
        <is>
          <t>Per card ability</t>
        </is>
      </c>
      <c r="Q119" t="inlineStr">
        <is>
          <t>While controlled / per effect</t>
        </is>
      </c>
      <c r="R119" t="inlineStr">
        <is>
          <t>+6 direct control of Green groups; +2 on any destruction attempt against a Corporate, Science, Space, or Computer target for each of those it is.</t>
        </is>
      </c>
      <c r="S119" t="inlineStr">
        <is>
          <t>NO</t>
        </is>
      </c>
      <c r="T119" t="inlineStr">
        <is>
          <t>1 incoming control arrow</t>
        </is>
      </c>
      <c r="U119" t="n">
        <v>2</v>
      </c>
      <c r="V119" t="inlineStr">
        <is>
          <t>N/A — INWO uses Plots instead of group income/money</t>
        </is>
      </c>
      <c r="W119" t="inlineStr">
        <is>
          <t>Standard: 1 action token (Illuminati: 1 Illuminati action); verified mechanics state no override</t>
        </is>
      </c>
      <c r="X119" t="inlineStr">
        <is>
          <t>One copy in play at a time; spare copies act as hidden agents vs. a rival's copy; a destroyed Group cannot be replayed unless a card returns it (base rule)</t>
        </is>
      </c>
      <c r="Y119" t="inlineStr">
        <is>
          <t>None beyond base rules (verified mechanics state no override)</t>
        </is>
      </c>
      <c r="Z119" t="inlineStr">
        <is>
          <t>Standard response window (verified mechanics state no override)</t>
        </is>
      </c>
      <c r="AA119" t="inlineStr">
        <is>
          <t>Specific card overrides general rules</t>
        </is>
      </c>
      <c r="AB119" t="inlineStr">
        <is>
          <t>Indexed INWO Book, Groups section</t>
        </is>
      </c>
      <c r="AC119" t="inlineStr">
        <is>
          <t>FUNCTIONALLY COMPLETE</t>
        </is>
      </c>
      <c r="AE119" t="inlineStr">
        <is>
          <t>Indexed INWO Book / historical cross-check</t>
        </is>
      </c>
      <c r="AF119" t="inlineStr">
        <is>
          <t>EXACT EDGE POSITIONS VERIFIED</t>
        </is>
      </c>
      <c r="AG119" t="inlineStr">
        <is>
          <t>Verified from supplied original-card scan: Groups/INWO - Rifkinites.png. Triangle orientation establishes IN=TOP, OUT=LEFT, RIGHT.</t>
        </is>
      </c>
      <c r="AH119" t="inlineStr">
        <is>
          <t>TOP</t>
        </is>
      </c>
      <c r="AI119" t="inlineStr">
        <is>
          <t>LEFT, RIGHT</t>
        </is>
      </c>
      <c r="AJ119" t="inlineStr">
        <is>
          <t>VERIFIED</t>
        </is>
      </c>
      <c r="AK119" t="inlineStr">
        <is>
          <t>Verified from supplied original-card scan: Groups/INWO - Rifkinites.png. Triangle orientation establishes IN=TOP, OUT=LEFT, RIGHT.</t>
        </is>
      </c>
    </row>
    <row r="120" ht="34" customHeight="1" s="16">
      <c r="A120" s="20" t="inlineStr">
        <is>
          <t>Robot Sea Monsters</t>
        </is>
      </c>
      <c r="B120" s="20" t="inlineStr">
        <is>
          <t>Group</t>
        </is>
      </c>
      <c r="C120" s="20" t="inlineStr">
        <is>
          <t>Organization</t>
        </is>
      </c>
      <c r="D120" s="20" t="inlineStr">
        <is>
          <t>Uncommon</t>
        </is>
      </c>
      <c r="E120" s="20" t="inlineStr">
        <is>
          <t>1/1</t>
        </is>
      </c>
      <c r="F120" s="20" t="inlineStr">
        <is>
          <t>6</t>
        </is>
      </c>
      <c r="G120" s="20" t="inlineStr">
        <is>
          <t>Violent</t>
        </is>
      </c>
      <c r="H120" s="20" t="inlineStr">
        <is>
          <t>Secret, Science, Computer</t>
        </is>
      </c>
      <c r="I120" s="20" t="inlineStr">
        <is>
          <t>+4 on any destruction attempt against a Corporate or Government group or a Coastal Place, including qualifying Disasters except Space; +10 instead when they directly attack to destroy Japan or California.</t>
        </is>
      </c>
      <c r="J120" s="20" t="inlineStr">
        <is>
          <t>Needs rules-engine encoding</t>
        </is>
      </c>
      <c r="K120" s="20" t="inlineStr">
        <is>
          <t>High</t>
        </is>
      </c>
      <c r="L120" s="20" t="inlineStr">
        <is>
          <t>Mechanics and outgoing-arrow count checked against the printed card; described in our own words. Exact physical edge placement tracked separately.</t>
        </is>
      </c>
      <c r="M120" s="20" t="inlineStr">
        <is>
          <t>https://www.scribd.com/document/851089808/TheINWOBook</t>
        </is>
      </c>
      <c r="N120" t="inlineStr">
        <is>
          <t>Passive or activated special ability</t>
        </is>
      </c>
      <c r="O120" t="inlineStr">
        <is>
          <t>Per card ability</t>
        </is>
      </c>
      <c r="Q120" t="inlineStr">
        <is>
          <t>While controlled / per effect</t>
        </is>
      </c>
      <c r="R120" t="inlineStr">
        <is>
          <t>+4 on any destruction attempt against a Corporate or Government group or a Coastal Place, including qualifying Disasters except Space; +10 instead when they directly attack to destroy Japan or California.</t>
        </is>
      </c>
      <c r="S120" t="inlineStr">
        <is>
          <t>NO</t>
        </is>
      </c>
      <c r="T120" t="inlineStr">
        <is>
          <t>1 incoming control arrow</t>
        </is>
      </c>
      <c r="U120" t="n">
        <v>0</v>
      </c>
      <c r="V120" t="inlineStr">
        <is>
          <t>N/A — INWO uses Plots instead of group income/money</t>
        </is>
      </c>
      <c r="W120" t="inlineStr">
        <is>
          <t>Standard: 1 action token (Illuminati: 1 Illuminati action); verified mechanics state no override</t>
        </is>
      </c>
      <c r="X120" t="inlineStr">
        <is>
          <t>One copy in play at a time; spare copies act as hidden agents vs. a rival's copy; a destroyed Group cannot be replayed unless a card returns it (base rule)</t>
        </is>
      </c>
      <c r="Y120" t="inlineStr">
        <is>
          <t>None beyond base rules (verified mechanics state no override)</t>
        </is>
      </c>
      <c r="Z120" t="inlineStr">
        <is>
          <t>Standard response window (verified mechanics state no override)</t>
        </is>
      </c>
      <c r="AA120" t="inlineStr">
        <is>
          <t>Specific card overrides general rules</t>
        </is>
      </c>
      <c r="AB120" t="inlineStr">
        <is>
          <t>Indexed INWO Book, Groups section</t>
        </is>
      </c>
      <c r="AC120" t="inlineStr">
        <is>
          <t>FUNCTIONALLY COMPLETE</t>
        </is>
      </c>
      <c r="AE120" t="inlineStr">
        <is>
          <t>Indexed INWO Book / historical cross-check</t>
        </is>
      </c>
      <c r="AF120" t="inlineStr">
        <is>
          <t>EXACT EDGE POSITIONS VERIFIED</t>
        </is>
      </c>
      <c r="AG120" t="inlineStr">
        <is>
          <t>Verified from supplied original-card scan: Groups/INWO - Robot Sea Monsters.png. Triangle orientation establishes IN=TOP, OUT=NONE.</t>
        </is>
      </c>
      <c r="AH120" t="inlineStr">
        <is>
          <t>TOP</t>
        </is>
      </c>
      <c r="AI120" t="inlineStr">
        <is>
          <t>NONE</t>
        </is>
      </c>
      <c r="AJ120" t="inlineStr">
        <is>
          <t>VERIFIED</t>
        </is>
      </c>
      <c r="AK120" t="inlineStr">
        <is>
          <t>Verified from supplied original-card scan: Groups/INWO - Robot Sea Monsters.png. Triangle orientation establishes IN=TOP, OUT=NONE.</t>
        </is>
      </c>
    </row>
    <row r="121" ht="34" customHeight="1" s="16">
      <c r="A121" s="20" t="inlineStr">
        <is>
          <t>Rosicrucians</t>
        </is>
      </c>
      <c r="B121" s="20" t="inlineStr">
        <is>
          <t>Group</t>
        </is>
      </c>
      <c r="C121" s="20" t="inlineStr">
        <is>
          <t>Organization</t>
        </is>
      </c>
      <c r="D121" s="20" t="inlineStr">
        <is>
          <t>Common</t>
        </is>
      </c>
      <c r="E121" s="20" t="inlineStr">
        <is>
          <t>1/1</t>
        </is>
      </c>
      <c r="F121" s="20" t="inlineStr">
        <is>
          <t>4</t>
        </is>
      </c>
      <c r="G121" s="20" t="inlineStr">
        <is>
          <t>None</t>
        </is>
      </c>
      <c r="H121" s="20" t="inlineStr">
        <is>
          <t>Magic, Secret</t>
        </is>
      </c>
      <c r="I121" s="20" t="inlineStr">
        <is>
          <t>When entitled to draw a Plot, may instead search the Plot deck for the desired card within the game's time limit, then shuffle; uses their action.</t>
        </is>
      </c>
      <c r="J121" s="20" t="inlineStr">
        <is>
          <t>Needs rules-engine encoding</t>
        </is>
      </c>
      <c r="K121" s="20" t="inlineStr">
        <is>
          <t>High</t>
        </is>
      </c>
      <c r="L121" s="20" t="inlineStr">
        <is>
          <t>Mechanics and outgoing-arrow count checked against the printed card; described in our own words. Exact physical edge placement tracked separately.</t>
        </is>
      </c>
      <c r="M121" s="20" t="inlineStr">
        <is>
          <t>https://www.scribd.com/document/851089808/TheINWOBook</t>
        </is>
      </c>
      <c r="N121" t="inlineStr">
        <is>
          <t>Passive or activated special ability</t>
        </is>
      </c>
      <c r="O121" t="inlineStr">
        <is>
          <t>Per card ability</t>
        </is>
      </c>
      <c r="Q121" t="inlineStr">
        <is>
          <t>While controlled / per effect</t>
        </is>
      </c>
      <c r="R121" t="inlineStr">
        <is>
          <t>When entitled to draw a Plot, may instead search the Plot deck for the desired card within the game's time limit, then shuffle; uses their action.</t>
        </is>
      </c>
      <c r="S121" t="inlineStr">
        <is>
          <t>NO</t>
        </is>
      </c>
      <c r="T121" t="inlineStr">
        <is>
          <t>1 incoming control arrow</t>
        </is>
      </c>
      <c r="U121" t="n">
        <v>1</v>
      </c>
      <c r="V121" t="inlineStr">
        <is>
          <t>N/A — INWO uses Plots instead of group income/money</t>
        </is>
      </c>
      <c r="W121" t="inlineStr">
        <is>
          <t>Standard: 1 action token (Illuminati: 1 Illuminati action); verified mechanics state no override</t>
        </is>
      </c>
      <c r="X121" t="inlineStr">
        <is>
          <t>One copy in play at a time; spare copies act as hidden agents vs. a rival's copy; a destroyed Group cannot be replayed unless a card returns it (base rule)</t>
        </is>
      </c>
      <c r="Y121" t="inlineStr">
        <is>
          <t>None beyond base rules (verified mechanics state no override)</t>
        </is>
      </c>
      <c r="Z121" t="inlineStr">
        <is>
          <t>Standard response window (verified mechanics state no override)</t>
        </is>
      </c>
      <c r="AA121" t="inlineStr">
        <is>
          <t>Specific card overrides general rules</t>
        </is>
      </c>
      <c r="AB121" t="inlineStr">
        <is>
          <t>Indexed INWO Book, Groups section</t>
        </is>
      </c>
      <c r="AC121" t="inlineStr">
        <is>
          <t>FUNCTIONALLY COMPLETE</t>
        </is>
      </c>
      <c r="AE121" t="inlineStr">
        <is>
          <t>Indexed INWO Book / historical cross-check</t>
        </is>
      </c>
      <c r="AF121" t="inlineStr">
        <is>
          <t>EXACT EDGE POSITIONS VERIFIED</t>
        </is>
      </c>
      <c r="AG121" t="inlineStr">
        <is>
          <t>Verified from supplied original-card scan: Groups/INWO - Rosicrucians.png. Triangle orientation establishes IN=TOP, OUT=LEFT.</t>
        </is>
      </c>
      <c r="AH121" t="inlineStr">
        <is>
          <t>TOP</t>
        </is>
      </c>
      <c r="AI121" t="inlineStr">
        <is>
          <t>LEFT</t>
        </is>
      </c>
      <c r="AJ121" t="inlineStr">
        <is>
          <t>VERIFIED</t>
        </is>
      </c>
      <c r="AK121" t="inlineStr">
        <is>
          <t>Verified from supplied original-card scan: Groups/INWO - Rosicrucians.png. Triangle orientation establishes IN=TOP, OUT=LEFT.</t>
        </is>
      </c>
    </row>
    <row r="122" ht="34" customHeight="1" s="16">
      <c r="A122" s="20" t="inlineStr">
        <is>
          <t>Saturday Morning Cartoons</t>
        </is>
      </c>
      <c r="B122" s="20" t="inlineStr">
        <is>
          <t>Group</t>
        </is>
      </c>
      <c r="C122" s="20" t="inlineStr">
        <is>
          <t>Organization</t>
        </is>
      </c>
      <c r="D122" s="20" t="inlineStr">
        <is>
          <t>Uncommon</t>
        </is>
      </c>
      <c r="E122" s="20" t="inlineStr">
        <is>
          <t>1/1</t>
        </is>
      </c>
      <c r="F122" s="20" t="inlineStr">
        <is>
          <t>4</t>
        </is>
      </c>
      <c r="G122" s="20" t="inlineStr">
        <is>
          <t>Violent</t>
        </is>
      </c>
      <c r="H122" s="20" t="inlineStr">
        <is>
          <t>Media</t>
        </is>
      </c>
      <c r="I122" s="20" t="inlineStr">
        <is>
          <t>+2 on any control attempt against a Violent group; its puppets become Violent (and so stop being Peaceful) while controlled and revert when control changes.</t>
        </is>
      </c>
      <c r="J122" s="20" t="inlineStr">
        <is>
          <t>Needs rules-engine encoding</t>
        </is>
      </c>
      <c r="K122" s="20" t="inlineStr">
        <is>
          <t>High</t>
        </is>
      </c>
      <c r="L122" s="20" t="inlineStr">
        <is>
          <t>Mechanics and outgoing-arrow count checked against the printed card; described in our own words. Exact physical edge placement tracked separately.</t>
        </is>
      </c>
      <c r="M122" s="20" t="inlineStr">
        <is>
          <t>https://www.scribd.com/document/851089808/TheINWOBook</t>
        </is>
      </c>
      <c r="N122" t="inlineStr">
        <is>
          <t>Passive or activated special ability</t>
        </is>
      </c>
      <c r="O122" t="inlineStr">
        <is>
          <t>Per card ability</t>
        </is>
      </c>
      <c r="Q122" t="inlineStr">
        <is>
          <t>While controlled / per effect</t>
        </is>
      </c>
      <c r="R122" t="inlineStr">
        <is>
          <t>+2 on any control attempt against a Violent group; its puppets become Violent while controlled and revert when control changes.</t>
        </is>
      </c>
      <c r="S122" t="inlineStr">
        <is>
          <t>NO</t>
        </is>
      </c>
      <c r="T122" t="inlineStr">
        <is>
          <t>1 incoming control arrow</t>
        </is>
      </c>
      <c r="U122" t="n">
        <v>1</v>
      </c>
      <c r="V122" t="inlineStr">
        <is>
          <t>N/A — INWO uses Plots instead of group income/money</t>
        </is>
      </c>
      <c r="W122" t="inlineStr">
        <is>
          <t>Standard: 1 action token (Illuminati: 1 Illuminati action); verified mechanics state no override</t>
        </is>
      </c>
      <c r="X122" t="inlineStr">
        <is>
          <t>One copy in play at a time; spare copies act as hidden agents vs. a rival's copy; a destroyed Group cannot be replayed unless a card returns it (base rule)</t>
        </is>
      </c>
      <c r="Y122" t="inlineStr">
        <is>
          <t>None beyond base rules (verified mechanics state no override)</t>
        </is>
      </c>
      <c r="Z122" t="inlineStr">
        <is>
          <t>Standard response window (verified mechanics state no override)</t>
        </is>
      </c>
      <c r="AA122" t="inlineStr">
        <is>
          <t>Specific card overrides general rules</t>
        </is>
      </c>
      <c r="AB122" t="inlineStr">
        <is>
          <t>Indexed INWO Book, Groups section</t>
        </is>
      </c>
      <c r="AC122" t="inlineStr">
        <is>
          <t>FUNCTIONALLY COMPLETE</t>
        </is>
      </c>
      <c r="AE122" t="inlineStr">
        <is>
          <t>Indexed INWO Book / historical cross-check</t>
        </is>
      </c>
      <c r="AF122" t="inlineStr">
        <is>
          <t>EXACT EDGE POSITIONS VERIFIED</t>
        </is>
      </c>
      <c r="AG122" t="inlineStr">
        <is>
          <t>Verified from supplied original-card scan: Groups/INWO - Saturday Morning Cartoons.png. Triangle orientation establishes IN=TOP, OUT=LEFT.</t>
        </is>
      </c>
      <c r="AH122" t="inlineStr">
        <is>
          <t>TOP</t>
        </is>
      </c>
      <c r="AI122" t="inlineStr">
        <is>
          <t>LEFT</t>
        </is>
      </c>
      <c r="AJ122" t="inlineStr">
        <is>
          <t>VERIFIED</t>
        </is>
      </c>
      <c r="AK122" t="inlineStr">
        <is>
          <t>Verified from supplied original-card scan: Groups/INWO - Saturday Morning Cartoons.png. Triangle orientation establishes IN=TOP, OUT=LEFT.</t>
        </is>
      </c>
    </row>
    <row r="123" ht="34" customHeight="1" s="16">
      <c r="A123" s="20" t="inlineStr">
        <is>
          <t>Savings and Loans</t>
        </is>
      </c>
      <c r="B123" s="20" t="inlineStr">
        <is>
          <t>Group</t>
        </is>
      </c>
      <c r="C123" s="20" t="inlineStr">
        <is>
          <t>Organization</t>
        </is>
      </c>
      <c r="D123" s="20" t="inlineStr">
        <is>
          <t>Rare</t>
        </is>
      </c>
      <c r="E123" s="20" t="inlineStr">
        <is>
          <t>2</t>
        </is>
      </c>
      <c r="F123" s="20" t="inlineStr">
        <is>
          <t>3</t>
        </is>
      </c>
      <c r="G123" s="20" t="inlineStr">
        <is>
          <t>Straight, Criminal</t>
        </is>
      </c>
      <c r="H123" s="20" t="inlineStr">
        <is>
          <t>Bank</t>
        </is>
      </c>
      <c r="I123" s="20" t="inlineStr">
        <is>
          <t>+3 on any control attempt against a Corporate, Government, or Bank group; as an action cancel an action by a Bank, Corporate, or Government group.</t>
        </is>
      </c>
      <c r="J123" s="20" t="inlineStr">
        <is>
          <t>Needs rules-engine encoding</t>
        </is>
      </c>
      <c r="K123" s="20" t="inlineStr">
        <is>
          <t>High</t>
        </is>
      </c>
      <c r="L123" s="20" t="inlineStr">
        <is>
          <t>Mechanics and outgoing-arrow count checked against the printed card; described in our own words. Exact physical edge placement tracked separately.</t>
        </is>
      </c>
      <c r="M123" s="20" t="inlineStr">
        <is>
          <t>https://www.scribd.com/document/851089808/TheINWOBook</t>
        </is>
      </c>
      <c r="N123" t="inlineStr">
        <is>
          <t>Passive or activated special ability</t>
        </is>
      </c>
      <c r="O123" t="inlineStr">
        <is>
          <t>Per card ability</t>
        </is>
      </c>
      <c r="Q123" t="inlineStr">
        <is>
          <t>While controlled / per effect</t>
        </is>
      </c>
      <c r="R123" t="inlineStr">
        <is>
          <t>+3 on any control attempt against a Corporate, Government, or Bank group; as an action cancel an action by a Bank, Corporate, or Government group.</t>
        </is>
      </c>
      <c r="S123" t="inlineStr">
        <is>
          <t>NO</t>
        </is>
      </c>
      <c r="T123" t="inlineStr">
        <is>
          <t>1 incoming control arrow</t>
        </is>
      </c>
      <c r="U123" t="n">
        <v>2</v>
      </c>
      <c r="V123" t="inlineStr">
        <is>
          <t>N/A — INWO uses Plots instead of group income/money</t>
        </is>
      </c>
      <c r="W123" t="inlineStr">
        <is>
          <t>Standard: 1 action token (Illuminati: 1 Illuminati action); verified mechanics state no override</t>
        </is>
      </c>
      <c r="X123" t="inlineStr">
        <is>
          <t>One copy in play at a time; spare copies act as hidden agents vs. a rival's copy; a destroyed Group cannot be replayed unless a card returns it (base rule)</t>
        </is>
      </c>
      <c r="Y123" t="inlineStr">
        <is>
          <t>None beyond base rules (verified mechanics state no override)</t>
        </is>
      </c>
      <c r="Z123" t="inlineStr">
        <is>
          <t>Standard response window (verified mechanics state no override)</t>
        </is>
      </c>
      <c r="AA123" t="inlineStr">
        <is>
          <t>Specific card overrides general rules</t>
        </is>
      </c>
      <c r="AB123" t="inlineStr">
        <is>
          <t>Indexed INWO Book, Groups section</t>
        </is>
      </c>
      <c r="AC123" t="inlineStr">
        <is>
          <t>FUNCTIONALLY COMPLETE</t>
        </is>
      </c>
      <c r="AE123" t="inlineStr">
        <is>
          <t>Indexed INWO Book / historical cross-check</t>
        </is>
      </c>
      <c r="AF123" t="inlineStr">
        <is>
          <t>EXACT EDGE POSITIONS VERIFIED</t>
        </is>
      </c>
      <c r="AG123" t="inlineStr">
        <is>
          <t>Verified from supplied original-card scan: Groups/INWO - Savings and Loans.png. Triangle orientation establishes IN=BOTTOM, OUT=TOP, LEFT.</t>
        </is>
      </c>
      <c r="AH123" t="inlineStr">
        <is>
          <t>BOTTOM</t>
        </is>
      </c>
      <c r="AI123" t="inlineStr">
        <is>
          <t>TOP, LEFT</t>
        </is>
      </c>
      <c r="AJ123" t="inlineStr">
        <is>
          <t>VERIFIED</t>
        </is>
      </c>
      <c r="AK123" t="inlineStr">
        <is>
          <t>Verified from supplied original-card scan: Groups/INWO - Savings and Loans.png. Triangle orientation establishes IN=BOTTOM, OUT=TOP, LEFT.</t>
        </is>
      </c>
    </row>
    <row r="124" ht="34" customHeight="1" s="16">
      <c r="A124" s="20" t="inlineStr">
        <is>
          <t>Science Fiction Fans</t>
        </is>
      </c>
      <c r="B124" s="20" t="inlineStr">
        <is>
          <t>Group</t>
        </is>
      </c>
      <c r="C124" s="20" t="inlineStr">
        <is>
          <t>Organization</t>
        </is>
      </c>
      <c r="D124" s="20" t="inlineStr">
        <is>
          <t>Common</t>
        </is>
      </c>
      <c r="E124" s="20" t="inlineStr">
        <is>
          <t>1</t>
        </is>
      </c>
      <c r="F124" s="20" t="inlineStr">
        <is>
          <t>5</t>
        </is>
      </c>
      <c r="G124" s="20" t="inlineStr">
        <is>
          <t>Weird</t>
        </is>
      </c>
      <c r="H124" s="20" t="str"/>
      <c r="I124" s="20" t="inlineStr">
        <is>
          <t>+2 on any control or destruction attempt against a Computer group (+6 in all when their master makes the attack); +2 on any control attempt against a Weird group.</t>
        </is>
      </c>
      <c r="J124" s="20" t="inlineStr">
        <is>
          <t>Needs rules-engine encoding</t>
        </is>
      </c>
      <c r="K124" s="20" t="inlineStr">
        <is>
          <t>High</t>
        </is>
      </c>
      <c r="L124" s="20" t="inlineStr">
        <is>
          <t>Mechanics and outgoing-arrow count checked against the printed card; described in our own words. Exact physical edge placement tracked separately.</t>
        </is>
      </c>
      <c r="M124" s="20" t="inlineStr">
        <is>
          <t>https://www.scribd.com/document/851089808/TheINWOBook</t>
        </is>
      </c>
      <c r="N124" t="inlineStr">
        <is>
          <t>Passive or activated special ability</t>
        </is>
      </c>
      <c r="O124" t="inlineStr">
        <is>
          <t>Per card ability</t>
        </is>
      </c>
      <c r="Q124" t="inlineStr">
        <is>
          <t>While controlled / per effect</t>
        </is>
      </c>
      <c r="R124" t="inlineStr">
        <is>
          <t>+2 on any control or destruction attempt against a Computer group (+6 in all when their master makes the attack); +2 on any control attempt against a Weird group.</t>
        </is>
      </c>
      <c r="S124" t="inlineStr">
        <is>
          <t>NO</t>
        </is>
      </c>
      <c r="T124" t="inlineStr">
        <is>
          <t>1 incoming control arrow</t>
        </is>
      </c>
      <c r="U124" t="n">
        <v>0</v>
      </c>
      <c r="V124" t="inlineStr">
        <is>
          <t>N/A — INWO uses Plots instead of group income/money</t>
        </is>
      </c>
      <c r="W124" t="inlineStr">
        <is>
          <t>Standard: 1 action token (Illuminati: 1 Illuminati action); verified mechanics state no override</t>
        </is>
      </c>
      <c r="X124" t="inlineStr">
        <is>
          <t>One copy in play at a time; spare copies act as hidden agents vs. a rival's copy; a destroyed Group cannot be replayed unless a card returns it (base rule)</t>
        </is>
      </c>
      <c r="Y124" t="inlineStr">
        <is>
          <t>None beyond base rules (verified mechanics state no override)</t>
        </is>
      </c>
      <c r="Z124" t="inlineStr">
        <is>
          <t>Standard response window (verified mechanics state no override)</t>
        </is>
      </c>
      <c r="AA124" t="inlineStr">
        <is>
          <t>Specific card overrides general rules</t>
        </is>
      </c>
      <c r="AB124" t="inlineStr">
        <is>
          <t>Indexed INWO Book, Groups section</t>
        </is>
      </c>
      <c r="AC124" t="inlineStr">
        <is>
          <t>FUNCTIONALLY COMPLETE</t>
        </is>
      </c>
      <c r="AE124" t="inlineStr">
        <is>
          <t>Indexed INWO Book / historical cross-check</t>
        </is>
      </c>
      <c r="AF124" t="inlineStr">
        <is>
          <t>EXACT EDGE POSITIONS VERIFIED</t>
        </is>
      </c>
      <c r="AG124" t="inlineStr">
        <is>
          <t>Verified from supplied original-card scan: Groups/INWO - Science Fiction Fans.png. Triangle orientation establishes IN=TOP, OUT=NONE.</t>
        </is>
      </c>
      <c r="AH124" t="inlineStr">
        <is>
          <t>TOP</t>
        </is>
      </c>
      <c r="AI124" t="inlineStr">
        <is>
          <t>NONE</t>
        </is>
      </c>
      <c r="AJ124" t="inlineStr">
        <is>
          <t>VERIFIED</t>
        </is>
      </c>
      <c r="AK124" t="inlineStr">
        <is>
          <t>Verified from supplied original-card scan: Groups/INWO - Science Fiction Fans.png. Triangle orientation establishes IN=TOP, OUT=NONE.</t>
        </is>
      </c>
    </row>
    <row r="125" ht="34" customHeight="1" s="16">
      <c r="A125" s="20" t="inlineStr">
        <is>
          <t>Secret Service</t>
        </is>
      </c>
      <c r="B125" s="20" t="inlineStr">
        <is>
          <t>Group</t>
        </is>
      </c>
      <c r="C125" s="20" t="inlineStr">
        <is>
          <t>Organization</t>
        </is>
      </c>
      <c r="D125" s="20" t="inlineStr">
        <is>
          <t>Rare</t>
        </is>
      </c>
      <c r="E125" s="20" t="inlineStr">
        <is>
          <t>2</t>
        </is>
      </c>
      <c r="F125" s="20" t="inlineStr">
        <is>
          <t>3</t>
        </is>
      </c>
      <c r="G125" s="20" t="inlineStr">
        <is>
          <t>Violent, Government</t>
        </is>
      </c>
      <c r="H125" s="20" t="str"/>
      <c r="I125" s="20" t="inlineStr">
        <is>
          <t>+10 to destroy Government Personalities, including Assassinations; uses the specified direct-destruction modifier against other Government groups.</t>
        </is>
      </c>
      <c r="J125" s="20" t="inlineStr">
        <is>
          <t>Needs rules-engine encoding</t>
        </is>
      </c>
      <c r="K125" s="20" t="inlineStr">
        <is>
          <t>High</t>
        </is>
      </c>
      <c r="L125" s="20" t="inlineStr">
        <is>
          <t>Mechanics and outgoing-arrow count checked against the printed card; described in our own words. Exact physical edge placement tracked separately.</t>
        </is>
      </c>
      <c r="M125" s="20" t="inlineStr">
        <is>
          <t>https://www.scribd.com/document/851089808/TheINWOBook</t>
        </is>
      </c>
      <c r="N125" t="inlineStr">
        <is>
          <t>Passive or activated special ability</t>
        </is>
      </c>
      <c r="O125" t="inlineStr">
        <is>
          <t>Per card ability</t>
        </is>
      </c>
      <c r="Q125" t="inlineStr">
        <is>
          <t>While controlled / per effect</t>
        </is>
      </c>
      <c r="R125" t="inlineStr">
        <is>
          <t>+10 to destroy Government Personalities, including Assassinations; uses the specified direct-destruction modifier against other Government groups.</t>
        </is>
      </c>
      <c r="S125" t="inlineStr">
        <is>
          <t>NO</t>
        </is>
      </c>
      <c r="T125" t="inlineStr">
        <is>
          <t>1 incoming control arrow</t>
        </is>
      </c>
      <c r="U125" t="n">
        <v>0</v>
      </c>
      <c r="V125" t="inlineStr">
        <is>
          <t>N/A — INWO uses Plots instead of group income/money</t>
        </is>
      </c>
      <c r="W125" t="inlineStr">
        <is>
          <t>Standard: 1 action token (Illuminati: 1 Illuminati action); verified mechanics state no override</t>
        </is>
      </c>
      <c r="X125" t="inlineStr">
        <is>
          <t>One copy in play at a time; spare copies act as hidden agents vs. a rival's copy; a destroyed Group cannot be replayed unless a card returns it (base rule)</t>
        </is>
      </c>
      <c r="Y125" t="inlineStr">
        <is>
          <t>None beyond base rules (verified mechanics state no override)</t>
        </is>
      </c>
      <c r="Z125" t="inlineStr">
        <is>
          <t>Standard response window (verified mechanics state no override)</t>
        </is>
      </c>
      <c r="AA125" t="inlineStr">
        <is>
          <t>Specific card overrides general rules</t>
        </is>
      </c>
      <c r="AB125" t="inlineStr">
        <is>
          <t>Indexed INWO Book, Groups section</t>
        </is>
      </c>
      <c r="AC125" t="inlineStr">
        <is>
          <t>FUNCTIONALLY COMPLETE</t>
        </is>
      </c>
      <c r="AE125" t="inlineStr">
        <is>
          <t>Indexed INWO Book / historical cross-check</t>
        </is>
      </c>
      <c r="AF125" t="inlineStr">
        <is>
          <t>EXACT EDGE POSITIONS VERIFIED</t>
        </is>
      </c>
      <c r="AG125" t="inlineStr">
        <is>
          <t>Verified from supplied original-card scan: Groups/INWO - Secret Service.png. Triangle orientation establishes IN=TOP, OUT=NONE.</t>
        </is>
      </c>
      <c r="AH125" t="inlineStr">
        <is>
          <t>TOP</t>
        </is>
      </c>
      <c r="AI125" t="inlineStr">
        <is>
          <t>NONE</t>
        </is>
      </c>
      <c r="AJ125" t="inlineStr">
        <is>
          <t>VERIFIED</t>
        </is>
      </c>
      <c r="AK125" t="inlineStr">
        <is>
          <t>Verified from supplied original-card scan: Groups/INWO - Secret Service.png. Triangle orientation establishes IN=TOP, OUT=NONE.</t>
        </is>
      </c>
    </row>
    <row r="126" ht="34" customHeight="1" s="16">
      <c r="A126" s="20" t="inlineStr">
        <is>
          <t>Secular Humanists</t>
        </is>
      </c>
      <c r="B126" s="20" t="inlineStr">
        <is>
          <t>Group</t>
        </is>
      </c>
      <c r="C126" s="20" t="inlineStr">
        <is>
          <t>Organization</t>
        </is>
      </c>
      <c r="D126" s="20" t="inlineStr">
        <is>
          <t>Uncommon</t>
        </is>
      </c>
      <c r="E126" s="20" t="inlineStr">
        <is>
          <t>2</t>
        </is>
      </c>
      <c r="F126" s="20" t="inlineStr">
        <is>
          <t>5</t>
        </is>
      </c>
      <c r="G126" s="20" t="inlineStr">
        <is>
          <t>Liberal</t>
        </is>
      </c>
      <c r="H126" s="20" t="str"/>
      <c r="I126" s="20" t="inlineStr">
        <is>
          <t>Straight or Conservative attacks against your other groups suffer -3 Power.</t>
        </is>
      </c>
      <c r="J126" s="20" t="inlineStr">
        <is>
          <t>Needs rules-engine encoding</t>
        </is>
      </c>
      <c r="K126" s="20" t="inlineStr">
        <is>
          <t>High</t>
        </is>
      </c>
      <c r="L126" s="20" t="inlineStr">
        <is>
          <t>Mechanics and outgoing-arrow count checked against the printed card; described in our own words. Exact physical edge placement tracked separately.</t>
        </is>
      </c>
      <c r="M126" s="20" t="inlineStr">
        <is>
          <t>https://www.scribd.com/document/851089808/TheINWOBook</t>
        </is>
      </c>
      <c r="N126" t="inlineStr">
        <is>
          <t>Passive or activated special ability</t>
        </is>
      </c>
      <c r="O126" t="inlineStr">
        <is>
          <t>Per card ability</t>
        </is>
      </c>
      <c r="Q126" t="inlineStr">
        <is>
          <t>While controlled / per effect</t>
        </is>
      </c>
      <c r="R126" t="inlineStr">
        <is>
          <t>Straight or Conservative attacks against your other groups suffer -3 Power.</t>
        </is>
      </c>
      <c r="S126" t="inlineStr">
        <is>
          <t>NO</t>
        </is>
      </c>
      <c r="T126" t="inlineStr">
        <is>
          <t>1 incoming control arrow</t>
        </is>
      </c>
      <c r="U126" t="n">
        <v>1</v>
      </c>
      <c r="V126" t="inlineStr">
        <is>
          <t>N/A — INWO uses Plots instead of group income/money</t>
        </is>
      </c>
      <c r="W126" t="inlineStr">
        <is>
          <t>Standard: 1 action token (Illuminati: 1 Illuminati action); verified mechanics state no override</t>
        </is>
      </c>
      <c r="X126" t="inlineStr">
        <is>
          <t>One copy in play at a time; spare copies act as hidden agents vs. a rival's copy; a destroyed Group cannot be replayed unless a card returns it (base rule)</t>
        </is>
      </c>
      <c r="Y126" t="inlineStr">
        <is>
          <t>None beyond base rules (verified mechanics state no override)</t>
        </is>
      </c>
      <c r="Z126" t="inlineStr">
        <is>
          <t>Standard response window (verified mechanics state no override)</t>
        </is>
      </c>
      <c r="AA126" t="inlineStr">
        <is>
          <t>Specific card overrides general rules</t>
        </is>
      </c>
      <c r="AB126" t="inlineStr">
        <is>
          <t>Indexed INWO Book, Groups section</t>
        </is>
      </c>
      <c r="AC126" t="inlineStr">
        <is>
          <t>FUNCTIONALLY COMPLETE</t>
        </is>
      </c>
      <c r="AE126" t="inlineStr">
        <is>
          <t>Indexed INWO Book / historical cross-check</t>
        </is>
      </c>
      <c r="AF126" t="inlineStr">
        <is>
          <t>EXACT EDGE POSITIONS VERIFIED</t>
        </is>
      </c>
      <c r="AG126" t="inlineStr">
        <is>
          <t>Verified from supplied original-card scan: Groups/INWO - Secular Humanists.png. Triangle orientation establishes IN=BOTTOM, OUT=TOP.</t>
        </is>
      </c>
      <c r="AH126" t="inlineStr">
        <is>
          <t>BOTTOM</t>
        </is>
      </c>
      <c r="AI126" t="inlineStr">
        <is>
          <t>TOP</t>
        </is>
      </c>
      <c r="AJ126" t="inlineStr">
        <is>
          <t>VERIFIED</t>
        </is>
      </c>
      <c r="AK126" t="inlineStr">
        <is>
          <t>Verified from supplied original-card scan: Groups/INWO - Secular Humanists.png. Triangle orientation establishes IN=BOTTOM, OUT=TOP.</t>
        </is>
      </c>
    </row>
    <row r="127" ht="34" customHeight="1" s="16">
      <c r="A127" s="20" t="inlineStr">
        <is>
          <t>Semiconscious Liberation Army</t>
        </is>
      </c>
      <c r="B127" s="20" t="inlineStr">
        <is>
          <t>Group</t>
        </is>
      </c>
      <c r="C127" s="20" t="inlineStr">
        <is>
          <t>Organization</t>
        </is>
      </c>
      <c r="D127" s="20" t="inlineStr">
        <is>
          <t>Common</t>
        </is>
      </c>
      <c r="E127" s="20" t="inlineStr">
        <is>
          <t>1</t>
        </is>
      </c>
      <c r="F127" s="20" t="inlineStr">
        <is>
          <t>8</t>
        </is>
      </c>
      <c r="G127" s="20" t="inlineStr">
        <is>
          <t>Weird, Liberal, Violent, Criminal</t>
        </is>
      </c>
      <c r="H127" s="20" t="inlineStr">
        <is>
          <t>Communist</t>
        </is>
      </c>
      <c r="I127" s="20" t="inlineStr">
        <is>
          <t>+3 on any destruction attempt.</t>
        </is>
      </c>
      <c r="J127" s="20" t="inlineStr">
        <is>
          <t>Needs rules-engine encoding</t>
        </is>
      </c>
      <c r="K127" s="20" t="inlineStr">
        <is>
          <t>High</t>
        </is>
      </c>
      <c r="L127" s="20" t="inlineStr">
        <is>
          <t>Mechanics and outgoing-arrow count checked against the printed card; described in our own words. Exact physical edge placement tracked separately.</t>
        </is>
      </c>
      <c r="M127" s="20" t="inlineStr">
        <is>
          <t>https://www.scribd.com/document/851089808/TheINWOBook</t>
        </is>
      </c>
      <c r="N127" t="inlineStr">
        <is>
          <t>Passive or activated special ability</t>
        </is>
      </c>
      <c r="O127" t="inlineStr">
        <is>
          <t>Per card ability</t>
        </is>
      </c>
      <c r="Q127" t="inlineStr">
        <is>
          <t>While controlled / per effect</t>
        </is>
      </c>
      <c r="R127" t="inlineStr">
        <is>
          <t>+3 on any destruction attempt.</t>
        </is>
      </c>
      <c r="S127" t="inlineStr">
        <is>
          <t>NO</t>
        </is>
      </c>
      <c r="T127" t="inlineStr">
        <is>
          <t>1 incoming control arrow</t>
        </is>
      </c>
      <c r="U127" t="n">
        <v>1</v>
      </c>
      <c r="V127" t="inlineStr">
        <is>
          <t>N/A — INWO uses Plots instead of group income/money</t>
        </is>
      </c>
      <c r="W127" t="inlineStr">
        <is>
          <t>Standard: 1 action token (Illuminati: 1 Illuminati action); verified mechanics state no override</t>
        </is>
      </c>
      <c r="X127" t="inlineStr">
        <is>
          <t>One copy in play at a time; spare copies act as hidden agents vs. a rival's copy; a destroyed Group cannot be replayed unless a card returns it (base rule)</t>
        </is>
      </c>
      <c r="Y127" t="inlineStr">
        <is>
          <t>None beyond base rules (verified mechanics state no override)</t>
        </is>
      </c>
      <c r="Z127" t="inlineStr">
        <is>
          <t>Standard response window (verified mechanics state no override)</t>
        </is>
      </c>
      <c r="AA127" t="inlineStr">
        <is>
          <t>Specific card overrides general rules</t>
        </is>
      </c>
      <c r="AB127" t="inlineStr">
        <is>
          <t>Indexed INWO Book, Groups section</t>
        </is>
      </c>
      <c r="AC127" t="inlineStr">
        <is>
          <t>FUNCTIONALLY COMPLETE</t>
        </is>
      </c>
      <c r="AE127" t="inlineStr">
        <is>
          <t>Indexed INWO Book / historical cross-check</t>
        </is>
      </c>
      <c r="AF127" t="inlineStr">
        <is>
          <t>EXACT EDGE POSITIONS VERIFIED</t>
        </is>
      </c>
      <c r="AG127" t="inlineStr">
        <is>
          <t>Verified from supplied original-card scan: Groups/INWO - Semiconscious Liberation Army.png. Triangle orientation establishes IN=BOTTOM, OUT=TOP.</t>
        </is>
      </c>
      <c r="AH127" t="inlineStr">
        <is>
          <t>BOTTOM</t>
        </is>
      </c>
      <c r="AI127" t="inlineStr">
        <is>
          <t>TOP</t>
        </is>
      </c>
      <c r="AJ127" t="inlineStr">
        <is>
          <t>VERIFIED</t>
        </is>
      </c>
      <c r="AK127" t="inlineStr">
        <is>
          <t>Verified from supplied original-card scan: Groups/INWO - Semiconscious Liberation Army.png. Triangle orientation establishes IN=BOTTOM, OUT=TOP.</t>
        </is>
      </c>
    </row>
    <row r="128" ht="34" customHeight="1" s="16">
      <c r="A128" s="20" t="inlineStr">
        <is>
          <t>S.M.O.F.</t>
        </is>
      </c>
      <c r="B128" s="20" t="inlineStr">
        <is>
          <t>Group</t>
        </is>
      </c>
      <c r="C128" s="20" t="inlineStr">
        <is>
          <t>Organization</t>
        </is>
      </c>
      <c r="D128" s="20" t="inlineStr">
        <is>
          <t>Rare</t>
        </is>
      </c>
      <c r="E128" s="20" t="inlineStr">
        <is>
          <t>1</t>
        </is>
      </c>
      <c r="F128" s="20" t="inlineStr">
        <is>
          <t>1</t>
        </is>
      </c>
      <c r="G128" s="20" t="inlineStr">
        <is>
          <t>Weird</t>
        </is>
      </c>
      <c r="H128" s="20" t="str"/>
      <c r="I128" s="20" t="inlineStr">
        <is>
          <t>+2 to control Weird groups; additional +4 direct against specified fandom groups; once on your turn freely remove an Action token from a rival Weird group.</t>
        </is>
      </c>
      <c r="J128" s="20" t="inlineStr">
        <is>
          <t>Needs rules-engine encoding</t>
        </is>
      </c>
      <c r="K128" s="20" t="inlineStr">
        <is>
          <t>High</t>
        </is>
      </c>
      <c r="L128" s="20" t="inlineStr">
        <is>
          <t>Mechanics and outgoing-arrow count checked against the printed card; described in our own words. Exact physical edge placement tracked separately.</t>
        </is>
      </c>
      <c r="M128" s="20" t="inlineStr">
        <is>
          <t>https://www.scribd.com/document/851089808/TheINWOBook</t>
        </is>
      </c>
      <c r="N128" t="inlineStr">
        <is>
          <t>Passive or activated special ability</t>
        </is>
      </c>
      <c r="O128" t="inlineStr">
        <is>
          <t>Per card ability</t>
        </is>
      </c>
      <c r="Q128" t="inlineStr">
        <is>
          <t>While controlled / per effect</t>
        </is>
      </c>
      <c r="R128" t="inlineStr">
        <is>
          <t>+2 to control Weird groups; additional +4 direct against specified fandom groups; once on your turn freely remove an Action token from a rival Weird group.</t>
        </is>
      </c>
      <c r="S128" t="inlineStr">
        <is>
          <t>NO</t>
        </is>
      </c>
      <c r="T128" t="inlineStr">
        <is>
          <t>1 incoming control arrow</t>
        </is>
      </c>
      <c r="U128" t="n">
        <v>2</v>
      </c>
      <c r="V128" t="inlineStr">
        <is>
          <t>N/A — INWO uses Plots instead of group income/money</t>
        </is>
      </c>
      <c r="W128" t="inlineStr">
        <is>
          <t>Standard: 1 action token (Illuminati: 1 Illuminati action); verified mechanics state no override</t>
        </is>
      </c>
      <c r="X128" t="inlineStr">
        <is>
          <t>One copy in play at a time; spare copies act as hidden agents vs. a rival's copy; a destroyed Group cannot be replayed unless a card returns it (base rule)</t>
        </is>
      </c>
      <c r="Y128" t="inlineStr">
        <is>
          <t>None beyond base rules (verified mechanics state no override)</t>
        </is>
      </c>
      <c r="Z128" t="inlineStr">
        <is>
          <t>Standard response window (verified mechanics state no override)</t>
        </is>
      </c>
      <c r="AA128" t="inlineStr">
        <is>
          <t>Specific card overrides general rules</t>
        </is>
      </c>
      <c r="AB128" t="inlineStr">
        <is>
          <t>Indexed INWO Book, Groups section</t>
        </is>
      </c>
      <c r="AC128" t="inlineStr">
        <is>
          <t>FUNCTIONALLY COMPLETE</t>
        </is>
      </c>
      <c r="AE128" t="inlineStr">
        <is>
          <t>Indexed INWO Book / historical cross-check</t>
        </is>
      </c>
      <c r="AF128" t="inlineStr">
        <is>
          <t>EXACT EDGE POSITIONS VERIFIED</t>
        </is>
      </c>
      <c r="AG128" t="inlineStr">
        <is>
          <t>Verified from supplied original-card scan: Groups/INWO - S.M.O.F..png. Triangle orientation establishes IN=BOTTOM, OUT=TOP, RIGHT.</t>
        </is>
      </c>
      <c r="AH128" t="inlineStr">
        <is>
          <t>BOTTOM</t>
        </is>
      </c>
      <c r="AI128" t="inlineStr">
        <is>
          <t>TOP, RIGHT</t>
        </is>
      </c>
      <c r="AJ128" t="inlineStr">
        <is>
          <t>VERIFIED</t>
        </is>
      </c>
      <c r="AK128" t="inlineStr">
        <is>
          <t>Verified from supplied original-card scan: Groups/INWO - S.M.O.F..png. Triangle orientation establishes IN=BOTTOM, OUT=TOP, RIGHT.</t>
        </is>
      </c>
    </row>
    <row r="129" ht="34" customHeight="1" s="16">
      <c r="A129" s="20" t="inlineStr">
        <is>
          <t>Society for Creative Anarchism</t>
        </is>
      </c>
      <c r="B129" s="20" t="inlineStr">
        <is>
          <t>Group</t>
        </is>
      </c>
      <c r="C129" s="20" t="inlineStr">
        <is>
          <t>Organization</t>
        </is>
      </c>
      <c r="D129" s="20" t="inlineStr">
        <is>
          <t>Common</t>
        </is>
      </c>
      <c r="E129" s="20" t="inlineStr">
        <is>
          <t>1</t>
        </is>
      </c>
      <c r="F129" s="20" t="inlineStr">
        <is>
          <t>4</t>
        </is>
      </c>
      <c r="G129" s="20" t="inlineStr">
        <is>
          <t>Violent, Weird</t>
        </is>
      </c>
      <c r="H129" s="20" t="str"/>
      <c r="I129" s="20" t="inlineStr">
        <is>
          <t>+4 on any destruction attempt against a Straight group; as an action force a rival to discard the top Group card of their deck.</t>
        </is>
      </c>
      <c r="J129" s="20" t="inlineStr">
        <is>
          <t>Needs rules-engine encoding</t>
        </is>
      </c>
      <c r="K129" s="20" t="inlineStr">
        <is>
          <t>High</t>
        </is>
      </c>
      <c r="L129" s="20" t="inlineStr">
        <is>
          <t>Mechanics and outgoing-arrow count checked against the printed card; described in our own words. Exact physical edge placement tracked separately.</t>
        </is>
      </c>
      <c r="M129" s="20" t="inlineStr">
        <is>
          <t>https://www.scribd.com/document/851089808/TheINWOBook</t>
        </is>
      </c>
      <c r="N129" t="inlineStr">
        <is>
          <t>Passive or activated special ability</t>
        </is>
      </c>
      <c r="O129" t="inlineStr">
        <is>
          <t>Per card ability</t>
        </is>
      </c>
      <c r="Q129" t="inlineStr">
        <is>
          <t>While controlled / per effect</t>
        </is>
      </c>
      <c r="R129" t="inlineStr">
        <is>
          <t>+4 on any destruction attempt against a Straight group; as an action force a rival to discard the top Group card of their deck.</t>
        </is>
      </c>
      <c r="S129" t="inlineStr">
        <is>
          <t>NO</t>
        </is>
      </c>
      <c r="T129" t="inlineStr">
        <is>
          <t>1 incoming control arrow</t>
        </is>
      </c>
      <c r="U129" t="n">
        <v>2</v>
      </c>
      <c r="V129" t="inlineStr">
        <is>
          <t>N/A — INWO uses Plots instead of group income/money</t>
        </is>
      </c>
      <c r="W129" t="inlineStr">
        <is>
          <t>Standard: 1 action token (Illuminati: 1 Illuminati action); verified mechanics state no override</t>
        </is>
      </c>
      <c r="X129" t="inlineStr">
        <is>
          <t>One copy in play at a time; spare copies act as hidden agents vs. a rival's copy; a destroyed Group cannot be replayed unless a card returns it (base rule)</t>
        </is>
      </c>
      <c r="Y129" t="inlineStr">
        <is>
          <t>None beyond base rules (verified mechanics state no override)</t>
        </is>
      </c>
      <c r="Z129" t="inlineStr">
        <is>
          <t>Standard response window (verified mechanics state no override)</t>
        </is>
      </c>
      <c r="AA129" t="inlineStr">
        <is>
          <t>Specific card overrides general rules</t>
        </is>
      </c>
      <c r="AB129" t="inlineStr">
        <is>
          <t>Indexed INWO Book, Groups section</t>
        </is>
      </c>
      <c r="AC129" t="inlineStr">
        <is>
          <t>FUNCTIONALLY COMPLETE</t>
        </is>
      </c>
      <c r="AE129" t="inlineStr">
        <is>
          <t>Indexed INWO Book / historical cross-check</t>
        </is>
      </c>
      <c r="AF129" t="inlineStr">
        <is>
          <t>EXACT EDGE POSITIONS VERIFIED</t>
        </is>
      </c>
      <c r="AG129" t="inlineStr">
        <is>
          <t>Verified from supplied original-card scan: Groups/INWO - Society for Creative Anarchism.png. Triangle orientation establishes IN=BOTTOM, OUT=TOP, LEFT.</t>
        </is>
      </c>
      <c r="AH129" t="inlineStr">
        <is>
          <t>BOTTOM</t>
        </is>
      </c>
      <c r="AI129" t="inlineStr">
        <is>
          <t>TOP, LEFT</t>
        </is>
      </c>
      <c r="AJ129" t="inlineStr">
        <is>
          <t>VERIFIED</t>
        </is>
      </c>
      <c r="AK129" t="inlineStr">
        <is>
          <t>Verified from supplied original-card scan: Groups/INWO - Society for Creative Anarchism.png. Triangle orientation establishes IN=BOTTOM, OUT=TOP, LEFT.</t>
        </is>
      </c>
    </row>
    <row r="130" ht="34" customHeight="1" s="16">
      <c r="A130" s="20" t="inlineStr">
        <is>
          <t>South American Nazis</t>
        </is>
      </c>
      <c r="B130" s="20" t="inlineStr">
        <is>
          <t>Group</t>
        </is>
      </c>
      <c r="C130" s="20" t="inlineStr">
        <is>
          <t>Organization</t>
        </is>
      </c>
      <c r="D130" s="20" t="inlineStr">
        <is>
          <t>Rare</t>
        </is>
      </c>
      <c r="E130" s="20" t="inlineStr">
        <is>
          <t>4/1</t>
        </is>
      </c>
      <c r="F130" s="20" t="inlineStr">
        <is>
          <t>6</t>
        </is>
      </c>
      <c r="G130" s="20" t="inlineStr">
        <is>
          <t>Conservative, Violent</t>
        </is>
      </c>
      <c r="H130" s="20" t="str"/>
      <c r="I130" s="20" t="inlineStr">
        <is>
          <t>+6 direct control of Weird Science groups; Weird Science puppets get +3 Power.</t>
        </is>
      </c>
      <c r="J130" s="20" t="inlineStr">
        <is>
          <t>Needs rules-engine encoding</t>
        </is>
      </c>
      <c r="K130" s="20" t="inlineStr">
        <is>
          <t>High</t>
        </is>
      </c>
      <c r="L130" s="20" t="inlineStr">
        <is>
          <t>Mechanics and outgoing-arrow count checked against the printed card; described in our own words. Exact physical edge placement tracked separately.</t>
        </is>
      </c>
      <c r="M130" s="20" t="inlineStr">
        <is>
          <t>https://www.scribd.com/document/851089808/TheINWOBook</t>
        </is>
      </c>
      <c r="N130" t="inlineStr">
        <is>
          <t>Passive or activated special ability</t>
        </is>
      </c>
      <c r="O130" t="inlineStr">
        <is>
          <t>Per card ability</t>
        </is>
      </c>
      <c r="Q130" t="inlineStr">
        <is>
          <t>While controlled / per effect</t>
        </is>
      </c>
      <c r="R130" t="inlineStr">
        <is>
          <t>+6 direct control of Weird Science groups; Weird Science puppets get +3 Power.</t>
        </is>
      </c>
      <c r="S130" t="inlineStr">
        <is>
          <t>NO</t>
        </is>
      </c>
      <c r="T130" t="inlineStr">
        <is>
          <t>1 incoming control arrow</t>
        </is>
      </c>
      <c r="U130" t="n">
        <v>2</v>
      </c>
      <c r="V130" t="inlineStr">
        <is>
          <t>N/A — INWO uses Plots instead of group income/money</t>
        </is>
      </c>
      <c r="W130" t="inlineStr">
        <is>
          <t>Standard: 1 action token (Illuminati: 1 Illuminati action); verified mechanics state no override</t>
        </is>
      </c>
      <c r="X130" t="inlineStr">
        <is>
          <t>One copy in play at a time; spare copies act as hidden agents vs. a rival's copy; a destroyed Group cannot be replayed unless a card returns it (base rule)</t>
        </is>
      </c>
      <c r="Y130" t="inlineStr">
        <is>
          <t>None beyond base rules (verified mechanics state no override)</t>
        </is>
      </c>
      <c r="Z130" t="inlineStr">
        <is>
          <t>Standard response window (verified mechanics state no override)</t>
        </is>
      </c>
      <c r="AA130" t="inlineStr">
        <is>
          <t>Specific card overrides general rules</t>
        </is>
      </c>
      <c r="AB130" t="inlineStr">
        <is>
          <t>Indexed INWO Book, Groups section</t>
        </is>
      </c>
      <c r="AC130" t="inlineStr">
        <is>
          <t>FUNCTIONALLY COMPLETE</t>
        </is>
      </c>
      <c r="AE130" t="inlineStr">
        <is>
          <t>Indexed INWO Book / historical cross-check</t>
        </is>
      </c>
      <c r="AF130" t="inlineStr">
        <is>
          <t>EXACT EDGE POSITIONS VERIFIED</t>
        </is>
      </c>
      <c r="AG130" t="inlineStr">
        <is>
          <t>Verified from supplied original-card scan: Groups/INWO - South American Nazis.png. Triangle orientation establishes IN=TOP, OUT=LEFT, RIGHT.</t>
        </is>
      </c>
      <c r="AH130" t="inlineStr">
        <is>
          <t>TOP</t>
        </is>
      </c>
      <c r="AI130" t="inlineStr">
        <is>
          <t>LEFT, RIGHT</t>
        </is>
      </c>
      <c r="AJ130" t="inlineStr">
        <is>
          <t>VERIFIED</t>
        </is>
      </c>
      <c r="AK130" t="inlineStr">
        <is>
          <t>Verified from supplied original-card scan: Groups/INWO - South American Nazis.png. Triangle orientation establishes IN=TOP, OUT=LEFT, RIGHT.</t>
        </is>
      </c>
    </row>
    <row r="131" ht="34" customHeight="1" s="16">
      <c r="A131" s="20" t="inlineStr">
        <is>
          <t>Subliminals</t>
        </is>
      </c>
      <c r="B131" s="20" t="inlineStr">
        <is>
          <t>Group</t>
        </is>
      </c>
      <c r="C131" s="20" t="inlineStr">
        <is>
          <t>Organization</t>
        </is>
      </c>
      <c r="D131" s="20" t="inlineStr">
        <is>
          <t>Rare</t>
        </is>
      </c>
      <c r="E131" s="20" t="inlineStr">
        <is>
          <t>2/2</t>
        </is>
      </c>
      <c r="F131" s="20" t="inlineStr">
        <is>
          <t>4</t>
        </is>
      </c>
      <c r="G131" s="20" t="inlineStr">
        <is>
          <t>None</t>
        </is>
      </c>
      <c r="H131" s="20" t="inlineStr">
        <is>
          <t>Secret</t>
        </is>
      </c>
      <c r="I131" s="20" t="inlineStr">
        <is>
          <t>Its Power and its Global Power each rise by one for every Media group you control.</t>
        </is>
      </c>
      <c r="J131" s="20" t="inlineStr">
        <is>
          <t>Needs rules-engine encoding</t>
        </is>
      </c>
      <c r="K131" s="20" t="inlineStr">
        <is>
          <t>High</t>
        </is>
      </c>
      <c r="L131" s="20" t="inlineStr">
        <is>
          <t>Mechanics and outgoing-arrow count checked against the printed card; described in our own words. Exact physical edge placement tracked separately.</t>
        </is>
      </c>
      <c r="M131" s="20" t="inlineStr">
        <is>
          <t>https://www.scribd.com/document/851089808/TheINWOBook</t>
        </is>
      </c>
      <c r="N131" t="inlineStr">
        <is>
          <t>Passive or activated special ability</t>
        </is>
      </c>
      <c r="O131" t="inlineStr">
        <is>
          <t>Per card ability</t>
        </is>
      </c>
      <c r="Q131" t="inlineStr">
        <is>
          <t>While controlled / per effect</t>
        </is>
      </c>
      <c r="R131" t="inlineStr">
        <is>
          <t>Its Power and its Global Power each rise by one for every Media group you control.</t>
        </is>
      </c>
      <c r="S131" t="inlineStr">
        <is>
          <t>NO</t>
        </is>
      </c>
      <c r="T131" t="inlineStr">
        <is>
          <t>1 incoming control arrow</t>
        </is>
      </c>
      <c r="U131" t="n">
        <v>0</v>
      </c>
      <c r="V131" t="inlineStr">
        <is>
          <t>N/A — INWO uses Plots instead of group income/money</t>
        </is>
      </c>
      <c r="W131" t="inlineStr">
        <is>
          <t>Standard: 1 action token (Illuminati: 1 Illuminati action); verified mechanics state no override</t>
        </is>
      </c>
      <c r="X131" t="inlineStr">
        <is>
          <t>One copy in play at a time; spare copies act as hidden agents vs. a rival's copy; a destroyed Group cannot be replayed unless a card returns it (base rule)</t>
        </is>
      </c>
      <c r="Y131" t="inlineStr">
        <is>
          <t>None beyond base rules (verified mechanics state no override)</t>
        </is>
      </c>
      <c r="Z131" t="inlineStr">
        <is>
          <t>Standard response window (verified mechanics state no override)</t>
        </is>
      </c>
      <c r="AA131" t="inlineStr">
        <is>
          <t>Specific card overrides general rules</t>
        </is>
      </c>
      <c r="AB131" t="inlineStr">
        <is>
          <t>Indexed INWO Book, Groups section</t>
        </is>
      </c>
      <c r="AC131" t="inlineStr">
        <is>
          <t>FUNCTIONALLY COMPLETE</t>
        </is>
      </c>
      <c r="AE131" t="inlineStr">
        <is>
          <t>Indexed INWO Book / historical cross-check</t>
        </is>
      </c>
      <c r="AF131" t="inlineStr">
        <is>
          <t>EXACT EDGE POSITIONS VERIFIED</t>
        </is>
      </c>
      <c r="AG131" t="inlineStr">
        <is>
          <t>Verified from supplied original-card scan: Groups/INWO - Subliminals.png. Triangle orientation establishes IN=TOP, OUT=NONE.</t>
        </is>
      </c>
      <c r="AH131" t="inlineStr">
        <is>
          <t>TOP</t>
        </is>
      </c>
      <c r="AI131" t="inlineStr">
        <is>
          <t>NONE</t>
        </is>
      </c>
      <c r="AJ131" t="inlineStr">
        <is>
          <t>VERIFIED</t>
        </is>
      </c>
      <c r="AK131" t="inlineStr">
        <is>
          <t>Verified from supplied original-card scan: Groups/INWO - Subliminals.png. Triangle orientation establishes IN=TOP, OUT=NONE.</t>
        </is>
      </c>
    </row>
    <row r="132" ht="34" customHeight="1" s="16">
      <c r="A132" s="20" t="inlineStr">
        <is>
          <t>Supreme Court</t>
        </is>
      </c>
      <c r="B132" s="20" t="inlineStr">
        <is>
          <t>Group</t>
        </is>
      </c>
      <c r="C132" s="20" t="inlineStr">
        <is>
          <t>Organization</t>
        </is>
      </c>
      <c r="D132" s="20" t="inlineStr">
        <is>
          <t>Rare</t>
        </is>
      </c>
      <c r="E132" s="20" t="inlineStr">
        <is>
          <t>3/3</t>
        </is>
      </c>
      <c r="F132" s="20" t="inlineStr">
        <is>
          <t>6</t>
        </is>
      </c>
      <c r="G132" s="20" t="inlineStr">
        <is>
          <t>Peaceful, Government</t>
        </is>
      </c>
      <c r="H132" s="20" t="str"/>
      <c r="I132" s="20" t="inlineStr">
        <is>
          <t>As an action, cancel a Government Group's action.</t>
        </is>
      </c>
      <c r="J132" s="20" t="inlineStr">
        <is>
          <t>Needs rules-engine encoding</t>
        </is>
      </c>
      <c r="K132" s="20" t="inlineStr">
        <is>
          <t>High</t>
        </is>
      </c>
      <c r="L132" s="20" t="inlineStr">
        <is>
          <t>Mechanics and outgoing-arrow count checked against the printed card; described in our own words. Exact physical edge placement tracked separately.</t>
        </is>
      </c>
      <c r="M132" s="20" t="inlineStr">
        <is>
          <t>https://www.scribd.com/document/851089808/TheINWOBook</t>
        </is>
      </c>
      <c r="N132" t="inlineStr">
        <is>
          <t>Passive or activated special ability</t>
        </is>
      </c>
      <c r="O132" t="inlineStr">
        <is>
          <t>Per card ability</t>
        </is>
      </c>
      <c r="Q132" t="inlineStr">
        <is>
          <t>While controlled / per effect</t>
        </is>
      </c>
      <c r="R132" t="inlineStr">
        <is>
          <t>As an action, cancel a Government Group's action.</t>
        </is>
      </c>
      <c r="S132" t="inlineStr">
        <is>
          <t>NO</t>
        </is>
      </c>
      <c r="T132" t="inlineStr">
        <is>
          <t>1 incoming control arrow</t>
        </is>
      </c>
      <c r="U132" t="n">
        <v>2</v>
      </c>
      <c r="V132" t="inlineStr">
        <is>
          <t>N/A — INWO uses Plots instead of group income/money</t>
        </is>
      </c>
      <c r="W132" t="inlineStr">
        <is>
          <t>Standard: 1 action token (Illuminati: 1 Illuminati action); verified mechanics state no override</t>
        </is>
      </c>
      <c r="X132" t="inlineStr">
        <is>
          <t>One copy in play at a time; spare copies act as hidden agents vs. a rival's copy; a destroyed Group cannot be replayed unless a card returns it (base rule)</t>
        </is>
      </c>
      <c r="Y132" t="inlineStr">
        <is>
          <t>None beyond base rules (verified mechanics state no override)</t>
        </is>
      </c>
      <c r="Z132" t="inlineStr">
        <is>
          <t>Standard response window (verified mechanics state no override)</t>
        </is>
      </c>
      <c r="AA132" t="inlineStr">
        <is>
          <t>Specific card overrides general rules</t>
        </is>
      </c>
      <c r="AB132" t="inlineStr">
        <is>
          <t>Indexed INWO Book, Groups section</t>
        </is>
      </c>
      <c r="AC132" t="inlineStr">
        <is>
          <t>FUNCTIONALLY COMPLETE</t>
        </is>
      </c>
      <c r="AE132" t="inlineStr">
        <is>
          <t>Indexed INWO Book / historical cross-check</t>
        </is>
      </c>
      <c r="AF132" t="inlineStr">
        <is>
          <t>EXACT EDGE POSITIONS VERIFIED</t>
        </is>
      </c>
      <c r="AG132" t="inlineStr">
        <is>
          <t>Verified from supplied original-card scan: Groups/INWO - Supreme Court.png. Triangle orientation establishes IN=TOP, OUT=LEFT, RIGHT.</t>
        </is>
      </c>
      <c r="AH132" t="inlineStr">
        <is>
          <t>TOP</t>
        </is>
      </c>
      <c r="AI132" t="inlineStr">
        <is>
          <t>LEFT, RIGHT</t>
        </is>
      </c>
      <c r="AJ132" t="inlineStr">
        <is>
          <t>VERIFIED</t>
        </is>
      </c>
      <c r="AK132" t="inlineStr">
        <is>
          <t>Verified from supplied original-card scan: Groups/INWO - Supreme Court.png. Triangle orientation establishes IN=TOP, OUT=LEFT, RIGHT.</t>
        </is>
      </c>
    </row>
    <row r="133" ht="34" customHeight="1" s="16">
      <c r="A133" s="20" t="inlineStr">
        <is>
          <t>Survivalists</t>
        </is>
      </c>
      <c r="B133" s="20" t="inlineStr">
        <is>
          <t>Group</t>
        </is>
      </c>
      <c r="C133" s="20" t="inlineStr">
        <is>
          <t>Organization</t>
        </is>
      </c>
      <c r="D133" s="20" t="inlineStr">
        <is>
          <t>Common</t>
        </is>
      </c>
      <c r="E133" s="20" t="inlineStr">
        <is>
          <t>1</t>
        </is>
      </c>
      <c r="F133" s="20" t="inlineStr">
        <is>
          <t>3</t>
        </is>
      </c>
      <c r="G133" s="20" t="inlineStr">
        <is>
          <t>Conservative, Violent, Fanatic</t>
        </is>
      </c>
      <c r="H133" s="20" t="str"/>
      <c r="I133" s="20" t="inlineStr">
        <is>
          <t>Your entire Power Structure gets +3 against Disasters; their master and puppets receive free automatic Relief on the turn after devastation.</t>
        </is>
      </c>
      <c r="J133" s="20" t="inlineStr">
        <is>
          <t>Needs rules-engine encoding</t>
        </is>
      </c>
      <c r="K133" s="20" t="inlineStr">
        <is>
          <t>High</t>
        </is>
      </c>
      <c r="L133" s="20" t="inlineStr">
        <is>
          <t>Mechanics and outgoing-arrow count checked against the printed card; described in our own words. Exact physical edge placement tracked separately.</t>
        </is>
      </c>
      <c r="M133" s="20" t="inlineStr">
        <is>
          <t>https://www.scribd.com/document/851089808/TheINWOBook</t>
        </is>
      </c>
      <c r="N133" t="inlineStr">
        <is>
          <t>Passive or activated special ability</t>
        </is>
      </c>
      <c r="O133" t="inlineStr">
        <is>
          <t>Per card ability</t>
        </is>
      </c>
      <c r="Q133" t="inlineStr">
        <is>
          <t>While controlled / per effect</t>
        </is>
      </c>
      <c r="R133" t="inlineStr">
        <is>
          <t>Your entire Power Structure gets +3 against Disasters; their master and puppets receive free automatic Relief on the turn after devastation.</t>
        </is>
      </c>
      <c r="S133" t="inlineStr">
        <is>
          <t>NO</t>
        </is>
      </c>
      <c r="T133" t="inlineStr">
        <is>
          <t>1 incoming control arrow</t>
        </is>
      </c>
      <c r="U133" t="n">
        <v>0</v>
      </c>
      <c r="V133" t="inlineStr">
        <is>
          <t>N/A — INWO uses Plots instead of group income/money</t>
        </is>
      </c>
      <c r="W133" t="inlineStr">
        <is>
          <t>Standard: 1 action token (Illuminati: 1 Illuminati action); verified mechanics state no override</t>
        </is>
      </c>
      <c r="X133" t="inlineStr">
        <is>
          <t>One copy in play at a time; spare copies act as hidden agents vs. a rival's copy; a destroyed Group cannot be replayed unless a card returns it (base rule)</t>
        </is>
      </c>
      <c r="Y133" t="inlineStr">
        <is>
          <t>None beyond base rules (verified mechanics state no override)</t>
        </is>
      </c>
      <c r="Z133" t="inlineStr">
        <is>
          <t>Standard response window (verified mechanics state no override)</t>
        </is>
      </c>
      <c r="AA133" t="inlineStr">
        <is>
          <t>Specific card overrides general rules</t>
        </is>
      </c>
      <c r="AB133" t="inlineStr">
        <is>
          <t>Indexed INWO Book, Groups section</t>
        </is>
      </c>
      <c r="AC133" t="inlineStr">
        <is>
          <t>FUNCTIONALLY COMPLETE</t>
        </is>
      </c>
      <c r="AE133" t="inlineStr">
        <is>
          <t>Indexed INWO Book / historical cross-check</t>
        </is>
      </c>
      <c r="AF133" t="inlineStr">
        <is>
          <t>EXACT EDGE POSITIONS VERIFIED</t>
        </is>
      </c>
      <c r="AG133" t="inlineStr">
        <is>
          <t>Verified from supplied original-card scan: Groups/INWO - Survivalists.png. Triangle orientation establishes IN=TOP, OUT=NONE.</t>
        </is>
      </c>
      <c r="AH133" t="inlineStr">
        <is>
          <t>TOP</t>
        </is>
      </c>
      <c r="AI133" t="inlineStr">
        <is>
          <t>NONE</t>
        </is>
      </c>
      <c r="AJ133" t="inlineStr">
        <is>
          <t>VERIFIED</t>
        </is>
      </c>
      <c r="AK133" t="inlineStr">
        <is>
          <t>Verified from supplied original-card scan: Groups/INWO - Survivalists.png. Triangle orientation establishes IN=TOP, OUT=NONE.</t>
        </is>
      </c>
    </row>
    <row r="134" ht="34" customHeight="1" s="16">
      <c r="A134" s="20" t="inlineStr">
        <is>
          <t>Tabloids</t>
        </is>
      </c>
      <c r="B134" s="20" t="inlineStr">
        <is>
          <t>Group</t>
        </is>
      </c>
      <c r="C134" s="20" t="inlineStr">
        <is>
          <t>Organization</t>
        </is>
      </c>
      <c r="D134" s="20" t="inlineStr">
        <is>
          <t>Uncommon</t>
        </is>
      </c>
      <c r="E134" s="20" t="inlineStr">
        <is>
          <t>2/2</t>
        </is>
      </c>
      <c r="F134" s="20" t="inlineStr">
        <is>
          <t>3</t>
        </is>
      </c>
      <c r="G134" s="20" t="inlineStr">
        <is>
          <t>Weird</t>
        </is>
      </c>
      <c r="H134" s="20" t="inlineStr">
        <is>
          <t>Media</t>
        </is>
      </c>
      <c r="I134" s="20" t="inlineStr">
        <is>
          <t>May directly attack Secret groups; target loses Secret for that attack and groups may aid either side regardless of alignment; +3 on any of your attempts to take over Convenience Stores (a card not in this set, so this never applies).</t>
        </is>
      </c>
      <c r="J134" s="20" t="inlineStr">
        <is>
          <t>Needs rules-engine encoding</t>
        </is>
      </c>
      <c r="K134" s="20" t="inlineStr">
        <is>
          <t>High</t>
        </is>
      </c>
      <c r="L134" s="20" t="inlineStr">
        <is>
          <t>Mechanics and outgoing-arrow count checked against the printed card; described in our own words. Exact physical edge placement tracked separately.</t>
        </is>
      </c>
      <c r="M134" s="20" t="inlineStr">
        <is>
          <t>https://www.scribd.com/document/851089808/TheINWOBook</t>
        </is>
      </c>
      <c r="N134" t="inlineStr">
        <is>
          <t>Passive or activated special ability</t>
        </is>
      </c>
      <c r="O134" t="inlineStr">
        <is>
          <t>Per card ability</t>
        </is>
      </c>
      <c r="Q134" t="inlineStr">
        <is>
          <t>While controlled / per effect</t>
        </is>
      </c>
      <c r="R134" t="inlineStr">
        <is>
          <t>May directly attack Secret groups; target loses Secret for that attack and groups may aid either side regardless of alignment; +3 involving Convenience Stores as specified.</t>
        </is>
      </c>
      <c r="S134" t="inlineStr">
        <is>
          <t>NO</t>
        </is>
      </c>
      <c r="T134" t="inlineStr">
        <is>
          <t>1 incoming control arrow</t>
        </is>
      </c>
      <c r="U134" t="n">
        <v>1</v>
      </c>
      <c r="V134" t="inlineStr">
        <is>
          <t>N/A — INWO uses Plots instead of group income/money</t>
        </is>
      </c>
      <c r="W134" t="inlineStr">
        <is>
          <t>Standard: 1 action token (Illuminati: 1 Illuminati action); verified mechanics state no override</t>
        </is>
      </c>
      <c r="X134" t="inlineStr">
        <is>
          <t>One copy in play at a time; spare copies act as hidden agents vs. a rival's copy; a destroyed Group cannot be replayed unless a card returns it (base rule)</t>
        </is>
      </c>
      <c r="Y134" t="inlineStr">
        <is>
          <t>None beyond base rules (verified mechanics state no override)</t>
        </is>
      </c>
      <c r="Z134" t="inlineStr">
        <is>
          <t>Standard response window (verified mechanics state no override)</t>
        </is>
      </c>
      <c r="AA134" t="inlineStr">
        <is>
          <t>Specific card overrides general rules</t>
        </is>
      </c>
      <c r="AB134" t="inlineStr">
        <is>
          <t>Indexed INWO Book, Groups section</t>
        </is>
      </c>
      <c r="AC134" t="inlineStr">
        <is>
          <t>FUNCTIONALLY COMPLETE</t>
        </is>
      </c>
      <c r="AE134" t="inlineStr">
        <is>
          <t>Indexed INWO Book / historical cross-check</t>
        </is>
      </c>
      <c r="AF134" t="inlineStr">
        <is>
          <t>EXACT EDGE POSITIONS VERIFIED</t>
        </is>
      </c>
      <c r="AG134" t="inlineStr">
        <is>
          <t>Verified from supplied original-card scan: Groups/INWO - Tabloids.png. Triangle orientation establishes IN=TOP, OUT=RIGHT.</t>
        </is>
      </c>
      <c r="AH134" t="inlineStr">
        <is>
          <t>TOP</t>
        </is>
      </c>
      <c r="AI134" t="inlineStr">
        <is>
          <t>RIGHT</t>
        </is>
      </c>
      <c r="AJ134" t="inlineStr">
        <is>
          <t>VERIFIED</t>
        </is>
      </c>
      <c r="AK134" t="inlineStr">
        <is>
          <t>Verified from supplied original-card scan: Groups/INWO - Tabloids.png. Triangle orientation establishes IN=TOP, OUT=RIGHT.</t>
        </is>
      </c>
    </row>
    <row r="135" ht="34" customHeight="1" s="16">
      <c r="A135" s="20" t="inlineStr">
        <is>
          <t>Telephone Psychics</t>
        </is>
      </c>
      <c r="B135" s="20" t="inlineStr">
        <is>
          <t>Group</t>
        </is>
      </c>
      <c r="C135" s="20" t="inlineStr">
        <is>
          <t>Organization</t>
        </is>
      </c>
      <c r="D135" s="20" t="inlineStr">
        <is>
          <t>Common</t>
        </is>
      </c>
      <c r="E135" s="20" t="inlineStr">
        <is>
          <t>2</t>
        </is>
      </c>
      <c r="F135" s="20" t="inlineStr">
        <is>
          <t>4</t>
        </is>
      </c>
      <c r="G135" s="20" t="inlineStr">
        <is>
          <t>Peaceful, Criminal</t>
        </is>
      </c>
      <c r="H135" s="20" t="str"/>
      <c r="I135" s="20" t="inlineStr">
        <is>
          <t>+6 direct control of Ronald Reagan, Nancy Reagan, Tabloids, or qualifying low-Power Media groups.</t>
        </is>
      </c>
      <c r="J135" s="20" t="inlineStr">
        <is>
          <t>Needs rules-engine encoding</t>
        </is>
      </c>
      <c r="K135" s="20" t="inlineStr">
        <is>
          <t>High</t>
        </is>
      </c>
      <c r="L135" s="20" t="inlineStr">
        <is>
          <t>Mechanics and outgoing-arrow count checked against the printed card; described in our own words. Exact physical edge placement tracked separately.</t>
        </is>
      </c>
      <c r="M135" s="20" t="inlineStr">
        <is>
          <t>https://www.scribd.com/document/851089808/TheINWOBook</t>
        </is>
      </c>
      <c r="N135" t="inlineStr">
        <is>
          <t>Passive or activated special ability</t>
        </is>
      </c>
      <c r="O135" t="inlineStr">
        <is>
          <t>Per card ability</t>
        </is>
      </c>
      <c r="Q135" t="inlineStr">
        <is>
          <t>While controlled / per effect</t>
        </is>
      </c>
      <c r="R135" t="inlineStr">
        <is>
          <t>+6 direct control of Ronald Reagan, Nancy Reagan, Tabloids, or qualifying low-Power Media groups.</t>
        </is>
      </c>
      <c r="S135" t="inlineStr">
        <is>
          <t>NO</t>
        </is>
      </c>
      <c r="T135" t="inlineStr">
        <is>
          <t>1 incoming control arrow</t>
        </is>
      </c>
      <c r="U135" t="n">
        <v>1</v>
      </c>
      <c r="V135" t="inlineStr">
        <is>
          <t>N/A — INWO uses Plots instead of group income/money</t>
        </is>
      </c>
      <c r="W135" t="inlineStr">
        <is>
          <t>Standard: 1 action token (Illuminati: 1 Illuminati action); verified mechanics state no override</t>
        </is>
      </c>
      <c r="X135" t="inlineStr">
        <is>
          <t>One copy in play at a time; spare copies act as hidden agents vs. a rival's copy; a destroyed Group cannot be replayed unless a card returns it (base rule)</t>
        </is>
      </c>
      <c r="Y135" t="inlineStr">
        <is>
          <t>None beyond base rules (verified mechanics state no override)</t>
        </is>
      </c>
      <c r="Z135" t="inlineStr">
        <is>
          <t>Standard response window (verified mechanics state no override)</t>
        </is>
      </c>
      <c r="AA135" t="inlineStr">
        <is>
          <t>Specific card overrides general rules</t>
        </is>
      </c>
      <c r="AB135" t="inlineStr">
        <is>
          <t>Indexed INWO Book, Groups section</t>
        </is>
      </c>
      <c r="AC135" t="inlineStr">
        <is>
          <t>FUNCTIONALLY COMPLETE</t>
        </is>
      </c>
      <c r="AE135" t="inlineStr">
        <is>
          <t>Indexed INWO Book / historical cross-check</t>
        </is>
      </c>
      <c r="AF135" t="inlineStr">
        <is>
          <t>EXACT EDGE POSITIONS VERIFIED</t>
        </is>
      </c>
      <c r="AG135" t="inlineStr">
        <is>
          <t>Verified from supplied original-card scan: Groups/INWO - Telephone Psychics.png. Triangle orientation establishes IN=BOTTOM, OUT=TOP.</t>
        </is>
      </c>
      <c r="AH135" t="inlineStr">
        <is>
          <t>BOTTOM</t>
        </is>
      </c>
      <c r="AI135" t="inlineStr">
        <is>
          <t>TOP</t>
        </is>
      </c>
      <c r="AJ135" t="inlineStr">
        <is>
          <t>VERIFIED</t>
        </is>
      </c>
      <c r="AK135" t="inlineStr">
        <is>
          <t>Verified from supplied original-card scan: Groups/INWO - Telephone Psychics.png. Triangle orientation establishes IN=BOTTOM, OUT=TOP.</t>
        </is>
      </c>
    </row>
    <row r="136" ht="34" customHeight="1" s="16">
      <c r="A136" s="20" t="inlineStr">
        <is>
          <t>Templars</t>
        </is>
      </c>
      <c r="B136" s="20" t="inlineStr">
        <is>
          <t>Group</t>
        </is>
      </c>
      <c r="C136" s="20" t="inlineStr">
        <is>
          <t>Organization</t>
        </is>
      </c>
      <c r="D136" s="20" t="inlineStr">
        <is>
          <t>Common</t>
        </is>
      </c>
      <c r="E136" s="20" t="inlineStr">
        <is>
          <t>3</t>
        </is>
      </c>
      <c r="F136" s="20" t="inlineStr">
        <is>
          <t>6</t>
        </is>
      </c>
      <c r="G136" s="20" t="inlineStr">
        <is>
          <t>Conservative</t>
        </is>
      </c>
      <c r="H136" s="20" t="inlineStr">
        <is>
          <t>Secret, Magic</t>
        </is>
      </c>
      <c r="I136" s="20" t="inlineStr">
        <is>
          <t>As an action, choose an exposed Plot controlled by a rival and force its discard.</t>
        </is>
      </c>
      <c r="J136" s="20" t="inlineStr">
        <is>
          <t>Needs rules-engine encoding</t>
        </is>
      </c>
      <c r="K136" s="20" t="inlineStr">
        <is>
          <t>High</t>
        </is>
      </c>
      <c r="L136" s="20" t="inlineStr">
        <is>
          <t>Mechanics and outgoing-arrow count checked against the printed card; described in our own words. Exact physical edge placement tracked separately.</t>
        </is>
      </c>
      <c r="M136" s="20" t="inlineStr">
        <is>
          <t>https://www.scribd.com/document/851089808/TheINWOBook</t>
        </is>
      </c>
      <c r="N136" t="inlineStr">
        <is>
          <t>Passive or activated special ability</t>
        </is>
      </c>
      <c r="O136" t="inlineStr">
        <is>
          <t>Per card ability</t>
        </is>
      </c>
      <c r="Q136" t="inlineStr">
        <is>
          <t>While controlled / per effect</t>
        </is>
      </c>
      <c r="R136" t="inlineStr">
        <is>
          <t>As an action, choose an exposed Plot controlled by a rival and force its discard.</t>
        </is>
      </c>
      <c r="S136" t="inlineStr">
        <is>
          <t>NO</t>
        </is>
      </c>
      <c r="T136" t="inlineStr">
        <is>
          <t>1 incoming control arrow</t>
        </is>
      </c>
      <c r="U136" t="n">
        <v>1</v>
      </c>
      <c r="V136" t="inlineStr">
        <is>
          <t>N/A — INWO uses Plots instead of group income/money</t>
        </is>
      </c>
      <c r="W136" t="inlineStr">
        <is>
          <t>Standard: 1 action token (Illuminati: 1 Illuminati action); verified mechanics state no override</t>
        </is>
      </c>
      <c r="X136" t="inlineStr">
        <is>
          <t>One copy in play at a time; spare copies act as hidden agents vs. a rival's copy; a destroyed Group cannot be replayed unless a card returns it (base rule)</t>
        </is>
      </c>
      <c r="Y136" t="inlineStr">
        <is>
          <t>None beyond base rules (verified mechanics state no override)</t>
        </is>
      </c>
      <c r="Z136" t="inlineStr">
        <is>
          <t>Standard response window (verified mechanics state no override)</t>
        </is>
      </c>
      <c r="AA136" t="inlineStr">
        <is>
          <t>Specific card overrides general rules</t>
        </is>
      </c>
      <c r="AB136" t="inlineStr">
        <is>
          <t>Indexed INWO Book, Groups section</t>
        </is>
      </c>
      <c r="AC136" t="inlineStr">
        <is>
          <t>FUNCTIONALLY COMPLETE</t>
        </is>
      </c>
      <c r="AE136" t="inlineStr">
        <is>
          <t>Indexed INWO Book / historical cross-check</t>
        </is>
      </c>
      <c r="AF136" t="inlineStr">
        <is>
          <t>EXACT EDGE POSITIONS VERIFIED</t>
        </is>
      </c>
      <c r="AG136" t="inlineStr">
        <is>
          <t>Verified from supplied original-card scan: Groups/INWO - Templars.png. Triangle orientation establishes IN=TOP, OUT=RIGHT.</t>
        </is>
      </c>
      <c r="AH136" t="inlineStr">
        <is>
          <t>TOP</t>
        </is>
      </c>
      <c r="AI136" t="inlineStr">
        <is>
          <t>RIGHT</t>
        </is>
      </c>
      <c r="AJ136" t="inlineStr">
        <is>
          <t>VERIFIED</t>
        </is>
      </c>
      <c r="AK136" t="inlineStr">
        <is>
          <t>Verified from supplied original-card scan: Groups/INWO - Templars.png. Triangle orientation establishes IN=TOP, OUT=RIGHT.</t>
        </is>
      </c>
    </row>
    <row r="137" ht="34" customHeight="1" s="16">
      <c r="A137" s="20" t="inlineStr">
        <is>
          <t>The Mafia</t>
        </is>
      </c>
      <c r="B137" s="20" t="inlineStr">
        <is>
          <t>Group</t>
        </is>
      </c>
      <c r="C137" s="20" t="inlineStr">
        <is>
          <t>Organization</t>
        </is>
      </c>
      <c r="D137" s="20" t="inlineStr">
        <is>
          <t>Rare</t>
        </is>
      </c>
      <c r="E137" s="20" t="inlineStr">
        <is>
          <t>6</t>
        </is>
      </c>
      <c r="F137" s="20" t="inlineStr">
        <is>
          <t>7</t>
        </is>
      </c>
      <c r="G137" s="20" t="inlineStr">
        <is>
          <t>Criminal, Violent</t>
        </is>
      </c>
      <c r="H137" s="20" t="str"/>
      <c r="I137" s="20" t="inlineStr">
        <is>
          <t>+4 rather than the normal same-alignment penalty on direct destruction of Criminal groups; +2 on your control or destruction attempts against Criminal groups.</t>
        </is>
      </c>
      <c r="J137" s="20" t="inlineStr">
        <is>
          <t>Needs rules-engine encoding</t>
        </is>
      </c>
      <c r="K137" s="20" t="inlineStr">
        <is>
          <t>High</t>
        </is>
      </c>
      <c r="L137" s="20" t="inlineStr">
        <is>
          <t>Mechanics and outgoing-arrow count checked against the printed card; described in our own words. Exact physical edge placement tracked separately.</t>
        </is>
      </c>
      <c r="M137" s="20" t="inlineStr">
        <is>
          <t>https://www.scribd.com/document/851089808/TheINWOBook</t>
        </is>
      </c>
      <c r="N137" t="inlineStr">
        <is>
          <t>Passive or activated special ability</t>
        </is>
      </c>
      <c r="O137" t="inlineStr">
        <is>
          <t>Per card ability</t>
        </is>
      </c>
      <c r="Q137" t="inlineStr">
        <is>
          <t>While controlled / per effect</t>
        </is>
      </c>
      <c r="R137" t="inlineStr">
        <is>
          <t>+4 rather than the normal same-alignment penalty on direct destruction of Criminal groups; +2 on your control or destruction attempts against Criminal groups.</t>
        </is>
      </c>
      <c r="S137" t="inlineStr">
        <is>
          <t>NO</t>
        </is>
      </c>
      <c r="T137" t="inlineStr">
        <is>
          <t>1 incoming control arrow</t>
        </is>
      </c>
      <c r="U137" t="n">
        <v>3</v>
      </c>
      <c r="V137" t="inlineStr">
        <is>
          <t>N/A — INWO uses Plots instead of group income/money</t>
        </is>
      </c>
      <c r="W137" t="inlineStr">
        <is>
          <t>Standard: 1 action token (Illuminati: 1 Illuminati action); verified mechanics state no override</t>
        </is>
      </c>
      <c r="X137" t="inlineStr">
        <is>
          <t>One copy in play at a time; spare copies act as hidden agents vs. a rival's copy; a destroyed Group cannot be replayed unless a card returns it (base rule)</t>
        </is>
      </c>
      <c r="Y137" t="inlineStr">
        <is>
          <t>None beyond base rules (verified mechanics state no override)</t>
        </is>
      </c>
      <c r="Z137" t="inlineStr">
        <is>
          <t>Standard response window (verified mechanics state no override)</t>
        </is>
      </c>
      <c r="AA137" t="inlineStr">
        <is>
          <t>Specific card overrides general rules</t>
        </is>
      </c>
      <c r="AB137" t="inlineStr">
        <is>
          <t>Indexed INWO Book, Groups section</t>
        </is>
      </c>
      <c r="AC137" t="inlineStr">
        <is>
          <t>FUNCTIONALLY COMPLETE</t>
        </is>
      </c>
      <c r="AE137" t="inlineStr">
        <is>
          <t>Indexed INWO Book / historical cross-check</t>
        </is>
      </c>
      <c r="AF137" t="inlineStr">
        <is>
          <t>EXACT EDGE POSITIONS VERIFIED</t>
        </is>
      </c>
      <c r="AG137" t="inlineStr">
        <is>
          <t>Verified from supplied original-card scan: Groups/INWO - The Mafia.png. Triangle orientation establishes IN=BOTTOM, OUT=TOP, LEFT, RIGHT.</t>
        </is>
      </c>
      <c r="AH137" t="inlineStr">
        <is>
          <t>BOTTOM</t>
        </is>
      </c>
      <c r="AI137" t="inlineStr">
        <is>
          <t>TOP, LEFT, RIGHT</t>
        </is>
      </c>
      <c r="AJ137" t="inlineStr">
        <is>
          <t>VERIFIED</t>
        </is>
      </c>
      <c r="AK137" t="inlineStr">
        <is>
          <t>Verified from supplied original-card scan: Groups/INWO - The Mafia.png. Triangle orientation establishes IN=BOTTOM, OUT=TOP, LEFT, RIGHT.</t>
        </is>
      </c>
    </row>
    <row r="138" ht="34" customHeight="1" s="16">
      <c r="A138" s="20" t="inlineStr">
        <is>
          <t>The Men In Black</t>
        </is>
      </c>
      <c r="B138" s="20" t="inlineStr">
        <is>
          <t>Group</t>
        </is>
      </c>
      <c r="C138" s="20" t="inlineStr">
        <is>
          <t>Organization</t>
        </is>
      </c>
      <c r="D138" s="20" t="inlineStr">
        <is>
          <t>Rare</t>
        </is>
      </c>
      <c r="E138" s="20" t="inlineStr">
        <is>
          <t>2/2</t>
        </is>
      </c>
      <c r="F138" s="20" t="inlineStr">
        <is>
          <t>6</t>
        </is>
      </c>
      <c r="G138" s="20" t="inlineStr">
        <is>
          <t>Criminal, Weird</t>
        </is>
      </c>
      <c r="H138" s="20" t="inlineStr">
        <is>
          <t>Secret</t>
        </is>
      </c>
      <c r="I138" s="20" t="inlineStr">
        <is>
          <t>Attacks to destroy get +4 when the Men in Black make or aid them; if such an attack succeeds, the target leaves the game for good.</t>
        </is>
      </c>
      <c r="J138" s="20" t="inlineStr">
        <is>
          <t>Needs rules-engine encoding</t>
        </is>
      </c>
      <c r="K138" s="20" t="inlineStr">
        <is>
          <t>High</t>
        </is>
      </c>
      <c r="L138" s="20" t="inlineStr">
        <is>
          <t>Mechanics and outgoing-arrow count checked against the printed card; described in our own words. Exact physical edge placement tracked separately.</t>
        </is>
      </c>
      <c r="M138" s="20" t="inlineStr">
        <is>
          <t>https://www.scribd.com/document/851089808/TheINWOBook</t>
        </is>
      </c>
      <c r="N138" t="inlineStr">
        <is>
          <t>Passive or activated special ability</t>
        </is>
      </c>
      <c r="O138" t="inlineStr">
        <is>
          <t>Per card ability</t>
        </is>
      </c>
      <c r="Q138" t="inlineStr">
        <is>
          <t>While controlled / per effect</t>
        </is>
      </c>
      <c r="R138" t="inlineStr">
        <is>
          <t>Attacks to destroy get +4 when the Men in Black make or aid them; if such an attack succeeds, the target leaves the game for good.</t>
        </is>
      </c>
      <c r="S138" t="inlineStr">
        <is>
          <t>NO</t>
        </is>
      </c>
      <c r="T138" t="inlineStr">
        <is>
          <t>1 incoming control arrow</t>
        </is>
      </c>
      <c r="U138" t="n">
        <v>0</v>
      </c>
      <c r="V138" t="inlineStr">
        <is>
          <t>N/A — INWO uses Plots instead of group income/money</t>
        </is>
      </c>
      <c r="W138" t="inlineStr">
        <is>
          <t>Standard: 1 action token (Illuminati: 1 Illuminati action); verified mechanics state no override</t>
        </is>
      </c>
      <c r="X138" t="inlineStr">
        <is>
          <t>One copy in play at a time; spare copies act as hidden agents vs. a rival's copy; a destroyed Group cannot be replayed unless a card returns it (base rule)</t>
        </is>
      </c>
      <c r="Y138" t="inlineStr">
        <is>
          <t>None beyond base rules (verified mechanics state no override)</t>
        </is>
      </c>
      <c r="Z138" t="inlineStr">
        <is>
          <t>Standard response window (verified mechanics state no override)</t>
        </is>
      </c>
      <c r="AA138" t="inlineStr">
        <is>
          <t>Specific card overrides general rules</t>
        </is>
      </c>
      <c r="AB138" t="inlineStr">
        <is>
          <t>Indexed INWO Book, Groups section</t>
        </is>
      </c>
      <c r="AC138" t="inlineStr">
        <is>
          <t>FUNCTIONALLY COMPLETE</t>
        </is>
      </c>
      <c r="AE138" t="inlineStr">
        <is>
          <t>Indexed INWO Book / historical cross-check</t>
        </is>
      </c>
      <c r="AF138" t="inlineStr">
        <is>
          <t>EXACT EDGE POSITIONS VERIFIED</t>
        </is>
      </c>
      <c r="AG138" t="inlineStr">
        <is>
          <t>Verified from supplied original-card scan: Groups/INWO - The Men in Black.png. Triangle orientation establishes IN=TOP, OUT=NONE.</t>
        </is>
      </c>
      <c r="AH138" t="inlineStr">
        <is>
          <t>TOP</t>
        </is>
      </c>
      <c r="AI138" t="inlineStr">
        <is>
          <t>NONE</t>
        </is>
      </c>
      <c r="AJ138" t="inlineStr">
        <is>
          <t>VERIFIED</t>
        </is>
      </c>
      <c r="AK138" t="inlineStr">
        <is>
          <t>Verified from supplied original-card scan: Groups/INWO - The Men in Black.png. Triangle orientation establishes IN=TOP, OUT=NONE.</t>
        </is>
      </c>
    </row>
    <row r="139" ht="34" customHeight="1" s="16">
      <c r="A139" s="20" t="inlineStr">
        <is>
          <t>Tobacco Companies</t>
        </is>
      </c>
      <c r="B139" s="20" t="inlineStr">
        <is>
          <t>Group</t>
        </is>
      </c>
      <c r="C139" s="20" t="inlineStr">
        <is>
          <t>Organization</t>
        </is>
      </c>
      <c r="D139" s="20" t="inlineStr">
        <is>
          <t>Common</t>
        </is>
      </c>
      <c r="E139" s="20" t="inlineStr">
        <is>
          <t>4</t>
        </is>
      </c>
      <c r="F139" s="20" t="inlineStr">
        <is>
          <t>3</t>
        </is>
      </c>
      <c r="G139" s="20" t="inlineStr">
        <is>
          <t>Straight, Corporate</t>
        </is>
      </c>
      <c r="H139" s="20" t="str"/>
      <c r="I139" s="20" t="inlineStr">
        <is>
          <t>+8 rather than the normal penalty to direct control of Government groups; Green groups get +4 to destroy Tobacco Companies.</t>
        </is>
      </c>
      <c r="J139" s="20" t="inlineStr">
        <is>
          <t>Needs rules-engine encoding</t>
        </is>
      </c>
      <c r="K139" s="20" t="inlineStr">
        <is>
          <t>High</t>
        </is>
      </c>
      <c r="L139" s="20" t="inlineStr">
        <is>
          <t>Mechanics and outgoing-arrow count checked against the printed card; described in our own words. Exact physical edge placement tracked separately.</t>
        </is>
      </c>
      <c r="M139" s="20" t="inlineStr">
        <is>
          <t>https://www.scribd.com/document/851089808/TheINWOBook</t>
        </is>
      </c>
      <c r="N139" t="inlineStr">
        <is>
          <t>Passive or activated special ability</t>
        </is>
      </c>
      <c r="O139" t="inlineStr">
        <is>
          <t>Per card ability</t>
        </is>
      </c>
      <c r="Q139" t="inlineStr">
        <is>
          <t>While controlled / per effect</t>
        </is>
      </c>
      <c r="R139" t="inlineStr">
        <is>
          <t>+8 rather than the normal penalty to direct control of Government groups; Green groups get +4 to destroy Tobacco Companies.</t>
        </is>
      </c>
      <c r="S139" t="inlineStr">
        <is>
          <t>NO</t>
        </is>
      </c>
      <c r="T139" t="inlineStr">
        <is>
          <t>1 incoming control arrow</t>
        </is>
      </c>
      <c r="U139" t="n">
        <v>2</v>
      </c>
      <c r="V139" t="inlineStr">
        <is>
          <t>N/A — INWO uses Plots instead of group income/money</t>
        </is>
      </c>
      <c r="W139" t="inlineStr">
        <is>
          <t>Standard: 1 action token (Illuminati: 1 Illuminati action); verified mechanics state no override</t>
        </is>
      </c>
      <c r="X139" t="inlineStr">
        <is>
          <t>One copy in play at a time; spare copies act as hidden agents vs. a rival's copy; a destroyed Group cannot be replayed unless a card returns it (base rule)</t>
        </is>
      </c>
      <c r="Y139" t="inlineStr">
        <is>
          <t>None beyond base rules (verified mechanics state no override)</t>
        </is>
      </c>
      <c r="Z139" t="inlineStr">
        <is>
          <t>Standard response window (verified mechanics state no override)</t>
        </is>
      </c>
      <c r="AA139" t="inlineStr">
        <is>
          <t>Specific card overrides general rules</t>
        </is>
      </c>
      <c r="AB139" t="inlineStr">
        <is>
          <t>Indexed INWO Book, Groups section</t>
        </is>
      </c>
      <c r="AC139" t="inlineStr">
        <is>
          <t>FUNCTIONALLY COMPLETE</t>
        </is>
      </c>
      <c r="AE139" t="inlineStr">
        <is>
          <t>Indexed INWO Book / historical cross-check</t>
        </is>
      </c>
      <c r="AF139" t="inlineStr">
        <is>
          <t>EXACT EDGE POSITIONS VERIFIED</t>
        </is>
      </c>
      <c r="AG139" t="inlineStr">
        <is>
          <t>Verified from supplied original-card scan: Groups/INWO - Tobacco Companies.png. Triangle orientation establishes IN=TOP, OUT=BOTTOM, RIGHT.</t>
        </is>
      </c>
      <c r="AH139" t="inlineStr">
        <is>
          <t>TOP</t>
        </is>
      </c>
      <c r="AI139" t="inlineStr">
        <is>
          <t>BOTTOM, RIGHT</t>
        </is>
      </c>
      <c r="AJ139" t="inlineStr">
        <is>
          <t>VERIFIED</t>
        </is>
      </c>
      <c r="AK139" t="inlineStr">
        <is>
          <t>Verified from supplied original-card scan: Groups/INWO - Tobacco Companies.png. Triangle orientation establishes IN=TOP, OUT=BOTTOM, RIGHT.</t>
        </is>
      </c>
    </row>
    <row r="140" ht="34" customHeight="1" s="16">
      <c r="A140" s="20" t="inlineStr">
        <is>
          <t>Trekkies</t>
        </is>
      </c>
      <c r="B140" s="20" t="inlineStr">
        <is>
          <t>Group</t>
        </is>
      </c>
      <c r="C140" s="20" t="inlineStr">
        <is>
          <t>Organization</t>
        </is>
      </c>
      <c r="D140" s="20" t="inlineStr">
        <is>
          <t>Common</t>
        </is>
      </c>
      <c r="E140" s="20" t="inlineStr">
        <is>
          <t>1</t>
        </is>
      </c>
      <c r="F140" s="20" t="inlineStr">
        <is>
          <t>4</t>
        </is>
      </c>
      <c r="G140" s="20" t="inlineStr">
        <is>
          <t>Peaceful, Weird, Fanatic</t>
        </is>
      </c>
      <c r="H140" s="20" t="str"/>
      <c r="I140" s="20" t="inlineStr">
        <is>
          <t>Media gets +4 to attack to control Trekkies; Trekkies get +4 direct control of Media groups.</t>
        </is>
      </c>
      <c r="J140" s="20" t="inlineStr">
        <is>
          <t>Needs rules-engine encoding</t>
        </is>
      </c>
      <c r="K140" s="20" t="inlineStr">
        <is>
          <t>High</t>
        </is>
      </c>
      <c r="L140" s="20" t="inlineStr">
        <is>
          <t>Mechanics and outgoing-arrow count checked against the printed card; described in our own words. Exact physical edge placement tracked separately.</t>
        </is>
      </c>
      <c r="M140" s="20" t="inlineStr">
        <is>
          <t>https://www.scribd.com/document/851089808/TheINWOBook</t>
        </is>
      </c>
      <c r="N140" t="inlineStr">
        <is>
          <t>Passive or activated special ability</t>
        </is>
      </c>
      <c r="O140" t="inlineStr">
        <is>
          <t>Per card ability</t>
        </is>
      </c>
      <c r="Q140" t="inlineStr">
        <is>
          <t>While controlled / per effect</t>
        </is>
      </c>
      <c r="R140" t="inlineStr">
        <is>
          <t>Media gets +4 to attack to control Trekkies; Trekkies get +4 direct control of Media groups.</t>
        </is>
      </c>
      <c r="S140" t="inlineStr">
        <is>
          <t>NO</t>
        </is>
      </c>
      <c r="T140" t="inlineStr">
        <is>
          <t>1 incoming control arrow</t>
        </is>
      </c>
      <c r="U140" t="n">
        <v>1</v>
      </c>
      <c r="V140" t="inlineStr">
        <is>
          <t>N/A — INWO uses Plots instead of group income/money</t>
        </is>
      </c>
      <c r="W140" t="inlineStr">
        <is>
          <t>Standard: 1 action token (Illuminati: 1 Illuminati action); verified mechanics state no override</t>
        </is>
      </c>
      <c r="X140" t="inlineStr">
        <is>
          <t>One copy in play at a time; spare copies act as hidden agents vs. a rival's copy; a destroyed Group cannot be replayed unless a card returns it (base rule)</t>
        </is>
      </c>
      <c r="Y140" t="inlineStr">
        <is>
          <t>None beyond base rules (verified mechanics state no override)</t>
        </is>
      </c>
      <c r="Z140" t="inlineStr">
        <is>
          <t>Standard response window (verified mechanics state no override)</t>
        </is>
      </c>
      <c r="AA140" t="inlineStr">
        <is>
          <t>Specific card overrides general rules</t>
        </is>
      </c>
      <c r="AB140" t="inlineStr">
        <is>
          <t>Indexed INWO Book, Groups section</t>
        </is>
      </c>
      <c r="AC140" t="inlineStr">
        <is>
          <t>FUNCTIONALLY COMPLETE</t>
        </is>
      </c>
      <c r="AE140" t="inlineStr">
        <is>
          <t>Indexed INWO Book / historical cross-check</t>
        </is>
      </c>
      <c r="AF140" t="inlineStr">
        <is>
          <t>EXACT EDGE POSITIONS VERIFIED</t>
        </is>
      </c>
      <c r="AG140" t="inlineStr">
        <is>
          <t>Verified from supplied original-card scan: Groups/INWO - Trekkies.png. Triangle orientation establishes IN=TOP, OUT=BOTTOM.</t>
        </is>
      </c>
      <c r="AH140" t="inlineStr">
        <is>
          <t>TOP</t>
        </is>
      </c>
      <c r="AI140" t="inlineStr">
        <is>
          <t>BOTTOM</t>
        </is>
      </c>
      <c r="AJ140" t="inlineStr">
        <is>
          <t>VERIFIED</t>
        </is>
      </c>
      <c r="AK140" t="inlineStr">
        <is>
          <t>Verified from supplied original-card scan: Groups/INWO - Trekkies.png. Triangle orientation establishes IN=TOP, OUT=BOTTOM.</t>
        </is>
      </c>
    </row>
    <row r="141" ht="34" customHeight="1" s="16">
      <c r="A141" s="20" t="inlineStr">
        <is>
          <t>Triliberal Commission</t>
        </is>
      </c>
      <c r="B141" s="20" t="inlineStr">
        <is>
          <t>Group</t>
        </is>
      </c>
      <c r="C141" s="20" t="inlineStr">
        <is>
          <t>Organization</t>
        </is>
      </c>
      <c r="D141" s="20" t="inlineStr">
        <is>
          <t>Rare</t>
        </is>
      </c>
      <c r="E141" s="20" t="inlineStr">
        <is>
          <t>5</t>
        </is>
      </c>
      <c r="F141" s="20" t="inlineStr">
        <is>
          <t>6</t>
        </is>
      </c>
      <c r="G141" s="20" t="inlineStr">
        <is>
          <t>Straight, Liberal</t>
        </is>
      </c>
      <c r="H141" s="20" t="str"/>
      <c r="I141" s="20" t="inlineStr">
        <is>
          <t>Counts double as Liberal for the Illuminated goal calculation, but not ordinary/basic alignment effects.</t>
        </is>
      </c>
      <c r="J141" s="20" t="inlineStr">
        <is>
          <t>Needs rules-engine encoding</t>
        </is>
      </c>
      <c r="K141" s="20" t="inlineStr">
        <is>
          <t>High</t>
        </is>
      </c>
      <c r="L141" s="20" t="inlineStr">
        <is>
          <t>Mechanics and outgoing-arrow count checked against the printed card; described in our own words. Exact physical edge placement tracked separately.</t>
        </is>
      </c>
      <c r="M141" s="20" t="inlineStr">
        <is>
          <t>https://www.scribd.com/document/851089808/TheINWOBook</t>
        </is>
      </c>
      <c r="N141" t="inlineStr">
        <is>
          <t>Passive or activated special ability</t>
        </is>
      </c>
      <c r="O141" t="inlineStr">
        <is>
          <t>Per card ability</t>
        </is>
      </c>
      <c r="Q141" t="inlineStr">
        <is>
          <t>While controlled / per effect</t>
        </is>
      </c>
      <c r="R141" t="inlineStr">
        <is>
          <t>Counts double as Liberal for the Illuminated goal calculation, but not ordinary/basic alignment effects.</t>
        </is>
      </c>
      <c r="S141" t="inlineStr">
        <is>
          <t>NO</t>
        </is>
      </c>
      <c r="T141" t="inlineStr">
        <is>
          <t>1 incoming control arrow</t>
        </is>
      </c>
      <c r="U141" t="n">
        <v>2</v>
      </c>
      <c r="V141" t="inlineStr">
        <is>
          <t>N/A — INWO uses Plots instead of group income/money</t>
        </is>
      </c>
      <c r="W141" t="inlineStr">
        <is>
          <t>Standard: 1 action token (Illuminati: 1 Illuminati action); verified mechanics state no override</t>
        </is>
      </c>
      <c r="X141" t="inlineStr">
        <is>
          <t>One copy in play at a time; spare copies act as hidden agents vs. a rival's copy; a destroyed Group cannot be replayed unless a card returns it (base rule)</t>
        </is>
      </c>
      <c r="Y141" t="inlineStr">
        <is>
          <t>None beyond base rules (verified mechanics state no override)</t>
        </is>
      </c>
      <c r="Z141" t="inlineStr">
        <is>
          <t>Standard response window (verified mechanics state no override)</t>
        </is>
      </c>
      <c r="AA141" t="inlineStr">
        <is>
          <t>Specific card overrides general rules</t>
        </is>
      </c>
      <c r="AB141" t="inlineStr">
        <is>
          <t>Indexed INWO Book, Groups section</t>
        </is>
      </c>
      <c r="AC141" t="inlineStr">
        <is>
          <t>FUNCTIONALLY COMPLETE</t>
        </is>
      </c>
      <c r="AE141" t="inlineStr">
        <is>
          <t>Indexed INWO Book / historical cross-check</t>
        </is>
      </c>
      <c r="AF141" t="inlineStr">
        <is>
          <t>EXACT EDGE POSITIONS VERIFIED</t>
        </is>
      </c>
      <c r="AG141" t="inlineStr">
        <is>
          <t>Verified from supplied original-card scan: Groups/INWO - Triliberal Commission.png. Triangle orientation establishes IN=TOP, OUT=BOTTOM, LEFT.</t>
        </is>
      </c>
      <c r="AH141" t="inlineStr">
        <is>
          <t>TOP</t>
        </is>
      </c>
      <c r="AI141" t="inlineStr">
        <is>
          <t>BOTTOM, LEFT</t>
        </is>
      </c>
      <c r="AJ141" t="inlineStr">
        <is>
          <t>VERIFIED</t>
        </is>
      </c>
      <c r="AK141" t="inlineStr">
        <is>
          <t>Verified from supplied original-card scan: Groups/INWO - Triliberal Commission.png. Triangle orientation establishes IN=TOP, OUT=BOTTOM, LEFT.</t>
        </is>
      </c>
    </row>
    <row r="142" ht="34" customHeight="1" s="16">
      <c r="A142" s="20" t="inlineStr">
        <is>
          <t>TV Preachers</t>
        </is>
      </c>
      <c r="B142" s="20" t="inlineStr">
        <is>
          <t>Group</t>
        </is>
      </c>
      <c r="C142" s="20" t="inlineStr">
        <is>
          <t>Organization</t>
        </is>
      </c>
      <c r="D142" s="20" t="inlineStr">
        <is>
          <t>Common</t>
        </is>
      </c>
      <c r="E142" s="20" t="inlineStr">
        <is>
          <t>3/3</t>
        </is>
      </c>
      <c r="F142" s="20" t="inlineStr">
        <is>
          <t>6</t>
        </is>
      </c>
      <c r="G142" s="20" t="inlineStr">
        <is>
          <t>Straight, Fanatic</t>
        </is>
      </c>
      <c r="H142" s="20" t="inlineStr">
        <is>
          <t>Media, Church</t>
        </is>
      </c>
      <c r="I142" s="20" t="inlineStr">
        <is>
          <t>+6 direct control of Straight Fanatic groups instead of normal Fanatic opposition; their puppets get +5 Resistance.</t>
        </is>
      </c>
      <c r="J142" s="20" t="inlineStr">
        <is>
          <t>Needs rules-engine encoding</t>
        </is>
      </c>
      <c r="K142" s="20" t="inlineStr">
        <is>
          <t>High</t>
        </is>
      </c>
      <c r="L142" s="20" t="inlineStr">
        <is>
          <t>Mechanics and outgoing-arrow count checked against the printed card; described in our own words. Exact physical edge placement tracked separately.</t>
        </is>
      </c>
      <c r="M142" s="20" t="inlineStr">
        <is>
          <t>https://www.scribd.com/document/851089808/TheINWOBook</t>
        </is>
      </c>
      <c r="N142" t="inlineStr">
        <is>
          <t>Passive or activated special ability</t>
        </is>
      </c>
      <c r="O142" t="inlineStr">
        <is>
          <t>Per card ability</t>
        </is>
      </c>
      <c r="Q142" t="inlineStr">
        <is>
          <t>While controlled / per effect</t>
        </is>
      </c>
      <c r="R142" t="inlineStr">
        <is>
          <t>+6 direct control of Straight Fanatic groups instead of normal Fanatic opposition; their puppets get +5 Resistance.</t>
        </is>
      </c>
      <c r="S142" t="inlineStr">
        <is>
          <t>NO</t>
        </is>
      </c>
      <c r="T142" t="inlineStr">
        <is>
          <t>1 incoming control arrow</t>
        </is>
      </c>
      <c r="U142" t="n">
        <v>2</v>
      </c>
      <c r="V142" t="inlineStr">
        <is>
          <t>N/A — INWO uses Plots instead of group income/money</t>
        </is>
      </c>
      <c r="W142" t="inlineStr">
        <is>
          <t>Standard: 1 action token (Illuminati: 1 Illuminati action); verified mechanics state no override</t>
        </is>
      </c>
      <c r="X142" t="inlineStr">
        <is>
          <t>One copy in play at a time; spare copies act as hidden agents vs. a rival's copy; a destroyed Group cannot be replayed unless a card returns it (base rule)</t>
        </is>
      </c>
      <c r="Y142" t="inlineStr">
        <is>
          <t>None beyond base rules (verified mechanics state no override)</t>
        </is>
      </c>
      <c r="Z142" t="inlineStr">
        <is>
          <t>Standard response window (verified mechanics state no override)</t>
        </is>
      </c>
      <c r="AA142" t="inlineStr">
        <is>
          <t>Specific card overrides general rules</t>
        </is>
      </c>
      <c r="AB142" t="inlineStr">
        <is>
          <t>Indexed INWO Book, Groups section</t>
        </is>
      </c>
      <c r="AC142" t="inlineStr">
        <is>
          <t>FUNCTIONALLY COMPLETE</t>
        </is>
      </c>
      <c r="AE142" t="inlineStr">
        <is>
          <t>Indexed INWO Book / historical cross-check</t>
        </is>
      </c>
      <c r="AF142" t="inlineStr">
        <is>
          <t>EXACT EDGE POSITIONS VERIFIED</t>
        </is>
      </c>
      <c r="AG142" t="inlineStr">
        <is>
          <t>Verified from supplied original-card scan: Groups/INWO - TV Preachers.png. Triangle orientation establishes IN=TOP, OUT=LEFT, RIGHT.</t>
        </is>
      </c>
      <c r="AH142" t="inlineStr">
        <is>
          <t>TOP</t>
        </is>
      </c>
      <c r="AI142" t="inlineStr">
        <is>
          <t>LEFT, RIGHT</t>
        </is>
      </c>
      <c r="AJ142" t="inlineStr">
        <is>
          <t>VERIFIED</t>
        </is>
      </c>
      <c r="AK142" t="inlineStr">
        <is>
          <t>Verified from supplied original-card scan: Groups/INWO - TV Preachers.png. Triangle orientation establishes IN=TOP, OUT=LEFT, RIGHT.</t>
        </is>
      </c>
    </row>
    <row r="143" ht="34" customHeight="1" s="16">
      <c r="A143" s="20" t="inlineStr">
        <is>
          <t>Underground Newspapers</t>
        </is>
      </c>
      <c r="B143" s="20" t="inlineStr">
        <is>
          <t>Group</t>
        </is>
      </c>
      <c r="C143" s="20" t="inlineStr">
        <is>
          <t>Organization</t>
        </is>
      </c>
      <c r="D143" s="20" t="inlineStr">
        <is>
          <t>Rare</t>
        </is>
      </c>
      <c r="E143" s="20" t="inlineStr">
        <is>
          <t>1/1</t>
        </is>
      </c>
      <c r="F143" s="20" t="inlineStr">
        <is>
          <t>5</t>
        </is>
      </c>
      <c r="G143" s="20" t="inlineStr">
        <is>
          <t>Liberal</t>
        </is>
      </c>
      <c r="H143" s="20" t="inlineStr">
        <is>
          <t>Media, Green</t>
        </is>
      </c>
      <c r="I143" s="20" t="inlineStr">
        <is>
          <t>Draw one additional Plot each time they take part in destroying a group that is Corporate, Government, or Straight.</t>
        </is>
      </c>
      <c r="J143" s="20" t="inlineStr">
        <is>
          <t>Needs rules-engine encoding</t>
        </is>
      </c>
      <c r="K143" s="20" t="inlineStr">
        <is>
          <t>High</t>
        </is>
      </c>
      <c r="L143" s="20" t="inlineStr">
        <is>
          <t>Mechanics and outgoing-arrow count checked against the printed card; described in our own words. Exact physical edge placement tracked separately.</t>
        </is>
      </c>
      <c r="M143" s="20" t="inlineStr">
        <is>
          <t>https://www.scribd.com/document/851089808/TheINWOBook</t>
        </is>
      </c>
      <c r="N143" t="inlineStr">
        <is>
          <t>Passive or activated special ability</t>
        </is>
      </c>
      <c r="O143" t="inlineStr">
        <is>
          <t>Per card ability</t>
        </is>
      </c>
      <c r="Q143" t="inlineStr">
        <is>
          <t>While controlled / per effect</t>
        </is>
      </c>
      <c r="R143" t="inlineStr">
        <is>
          <t>Draw one additional Plot each time they take part in destroying a group that is Corporate, Government, or Straight.</t>
        </is>
      </c>
      <c r="S143" t="inlineStr">
        <is>
          <t>NO</t>
        </is>
      </c>
      <c r="T143" t="inlineStr">
        <is>
          <t>1 incoming control arrow</t>
        </is>
      </c>
      <c r="U143" t="n">
        <v>1</v>
      </c>
      <c r="V143" t="inlineStr">
        <is>
          <t>N/A — INWO uses Plots instead of group income/money</t>
        </is>
      </c>
      <c r="W143" t="inlineStr">
        <is>
          <t>Standard: 1 action token (Illuminati: 1 Illuminati action); verified mechanics state no override</t>
        </is>
      </c>
      <c r="X143" t="inlineStr">
        <is>
          <t>One copy in play at a time; spare copies act as hidden agents vs. a rival's copy; a destroyed Group cannot be replayed unless a card returns it (base rule)</t>
        </is>
      </c>
      <c r="Y143" t="inlineStr">
        <is>
          <t>None beyond base rules (verified mechanics state no override)</t>
        </is>
      </c>
      <c r="Z143" t="inlineStr">
        <is>
          <t>Standard response window (verified mechanics state no override)</t>
        </is>
      </c>
      <c r="AA143" t="inlineStr">
        <is>
          <t>Specific card overrides general rules</t>
        </is>
      </c>
      <c r="AB143" t="inlineStr">
        <is>
          <t>Indexed INWO Book, Groups section</t>
        </is>
      </c>
      <c r="AC143" t="inlineStr">
        <is>
          <t>FUNCTIONALLY COMPLETE</t>
        </is>
      </c>
      <c r="AE143" t="inlineStr">
        <is>
          <t>Indexed INWO Book / historical cross-check</t>
        </is>
      </c>
      <c r="AF143" t="inlineStr">
        <is>
          <t>EXACT EDGE POSITIONS VERIFIED</t>
        </is>
      </c>
      <c r="AG143" t="inlineStr">
        <is>
          <t>Verified from supplied original-card scan: Groups/INWO - Underground Newspapers.png. Triangle orientation establishes IN=TOP, OUT=BOTTOM.</t>
        </is>
      </c>
      <c r="AH143" t="inlineStr">
        <is>
          <t>TOP</t>
        </is>
      </c>
      <c r="AI143" t="inlineStr">
        <is>
          <t>BOTTOM</t>
        </is>
      </c>
      <c r="AJ143" t="inlineStr">
        <is>
          <t>VERIFIED</t>
        </is>
      </c>
      <c r="AK143" t="inlineStr">
        <is>
          <t>Verified from supplied original-card scan: Groups/INWO - Underground Newspapers.png. Triangle orientation establishes IN=TOP, OUT=BOTTOM.</t>
        </is>
      </c>
    </row>
    <row r="144" ht="34" customHeight="1" s="16">
      <c r="A144" s="20" t="inlineStr">
        <is>
          <t>United Nations</t>
        </is>
      </c>
      <c r="B144" s="20" t="inlineStr">
        <is>
          <t>Group</t>
        </is>
      </c>
      <c r="C144" s="20" t="inlineStr">
        <is>
          <t>Organization</t>
        </is>
      </c>
      <c r="D144" s="20" t="inlineStr">
        <is>
          <t>Common</t>
        </is>
      </c>
      <c r="E144" s="20" t="inlineStr">
        <is>
          <t>1</t>
        </is>
      </c>
      <c r="F144" s="20" t="inlineStr">
        <is>
          <t>3</t>
        </is>
      </c>
      <c r="G144" s="20" t="inlineStr">
        <is>
          <t>Liberal</t>
        </is>
      </c>
      <c r="H144" s="20" t="str"/>
      <c r="I144" s="20" t="inlineStr">
        <is>
          <t>+6 on any control attempt against a Nation; Power is multiplied by five for Relief.</t>
        </is>
      </c>
      <c r="J144" s="20" t="inlineStr">
        <is>
          <t>Needs rules-engine encoding</t>
        </is>
      </c>
      <c r="K144" s="20" t="inlineStr">
        <is>
          <t>High</t>
        </is>
      </c>
      <c r="L144" s="20" t="inlineStr">
        <is>
          <t>Mechanics and outgoing-arrow count checked against the printed card; described in our own words. Exact physical edge placement tracked separately.</t>
        </is>
      </c>
      <c r="M144" s="20" t="inlineStr">
        <is>
          <t>https://www.scribd.com/document/851089808/TheINWOBook</t>
        </is>
      </c>
      <c r="N144" t="inlineStr">
        <is>
          <t>Passive or activated special ability</t>
        </is>
      </c>
      <c r="O144" t="inlineStr">
        <is>
          <t>Per card ability</t>
        </is>
      </c>
      <c r="Q144" t="inlineStr">
        <is>
          <t>While controlled / per effect</t>
        </is>
      </c>
      <c r="R144" t="inlineStr">
        <is>
          <t>+6 on any control attempt against a Nation; Power is multiplied by five for Relief.</t>
        </is>
      </c>
      <c r="S144" t="inlineStr">
        <is>
          <t>NO</t>
        </is>
      </c>
      <c r="T144" t="inlineStr">
        <is>
          <t>1 incoming control arrow</t>
        </is>
      </c>
      <c r="U144" t="n">
        <v>1</v>
      </c>
      <c r="V144" t="inlineStr">
        <is>
          <t>N/A — INWO uses Plots instead of group income/money</t>
        </is>
      </c>
      <c r="W144" t="inlineStr">
        <is>
          <t>Standard: 1 action token (Illuminati: 1 Illuminati action); verified mechanics state no override</t>
        </is>
      </c>
      <c r="X144" t="inlineStr">
        <is>
          <t>One copy in play at a time; spare copies act as hidden agents vs. a rival's copy; a destroyed Group cannot be replayed unless a card returns it (base rule)</t>
        </is>
      </c>
      <c r="Y144" t="inlineStr">
        <is>
          <t>None beyond base rules (verified mechanics state no override)</t>
        </is>
      </c>
      <c r="Z144" t="inlineStr">
        <is>
          <t>Standard response window (verified mechanics state no override)</t>
        </is>
      </c>
      <c r="AA144" t="inlineStr">
        <is>
          <t>Specific card overrides general rules</t>
        </is>
      </c>
      <c r="AB144" t="inlineStr">
        <is>
          <t>Indexed INWO Book, Groups section</t>
        </is>
      </c>
      <c r="AC144" t="inlineStr">
        <is>
          <t>FUNCTIONALLY COMPLETE</t>
        </is>
      </c>
      <c r="AE144" t="inlineStr">
        <is>
          <t>Indexed INWO Book / historical cross-check</t>
        </is>
      </c>
      <c r="AF144" t="inlineStr">
        <is>
          <t>EXACT EDGE POSITIONS VERIFIED</t>
        </is>
      </c>
      <c r="AG144" t="inlineStr">
        <is>
          <t>Verified from supplied original-card scan: Groups/INWO - United Nations.png. Triangle orientation establishes IN=TOP, OUT=RIGHT.</t>
        </is>
      </c>
      <c r="AH144" t="inlineStr">
        <is>
          <t>TOP</t>
        </is>
      </c>
      <c r="AI144" t="inlineStr">
        <is>
          <t>RIGHT</t>
        </is>
      </c>
      <c r="AJ144" t="inlineStr">
        <is>
          <t>VERIFIED</t>
        </is>
      </c>
      <c r="AK144" t="inlineStr">
        <is>
          <t>Verified from supplied original-card scan: Groups/INWO - United Nations.png. Triangle orientation establishes IN=TOP, OUT=RIGHT.</t>
        </is>
      </c>
    </row>
    <row r="145" ht="34" customHeight="1" s="16">
      <c r="A145" s="20" t="inlineStr">
        <is>
          <t>Urban Gangs</t>
        </is>
      </c>
      <c r="B145" s="20" t="inlineStr">
        <is>
          <t>Group</t>
        </is>
      </c>
      <c r="C145" s="20" t="inlineStr">
        <is>
          <t>Organization</t>
        </is>
      </c>
      <c r="D145" s="20" t="inlineStr">
        <is>
          <t>Common</t>
        </is>
      </c>
      <c r="E145" s="20" t="inlineStr">
        <is>
          <t>1</t>
        </is>
      </c>
      <c r="F145" s="20" t="inlineStr">
        <is>
          <t>2</t>
        </is>
      </c>
      <c r="G145" s="20" t="inlineStr">
        <is>
          <t>Violent</t>
        </is>
      </c>
      <c r="H145" s="20" t="str"/>
      <c r="I145" s="20" t="inlineStr">
        <is>
          <t>+2 on any destruction attempt, including Assassinations.</t>
        </is>
      </c>
      <c r="J145" s="20" t="inlineStr">
        <is>
          <t>Needs rules-engine encoding</t>
        </is>
      </c>
      <c r="K145" s="20" t="inlineStr">
        <is>
          <t>High</t>
        </is>
      </c>
      <c r="L145" s="20" t="inlineStr">
        <is>
          <t>Mechanics and outgoing-arrow count checked against the printed card; described in our own words. Exact physical edge placement tracked separately.</t>
        </is>
      </c>
      <c r="M145" s="20" t="inlineStr">
        <is>
          <t>https://www.scribd.com/document/851089808/TheINWOBook</t>
        </is>
      </c>
      <c r="N145" t="inlineStr">
        <is>
          <t>Passive or activated special ability</t>
        </is>
      </c>
      <c r="O145" t="inlineStr">
        <is>
          <t>Per card ability</t>
        </is>
      </c>
      <c r="Q145" t="inlineStr">
        <is>
          <t>While controlled / per effect</t>
        </is>
      </c>
      <c r="R145" t="inlineStr">
        <is>
          <t>+2 on any destruction attempt, including Assassinations.</t>
        </is>
      </c>
      <c r="S145" t="inlineStr">
        <is>
          <t>NO</t>
        </is>
      </c>
      <c r="T145" t="inlineStr">
        <is>
          <t>1 incoming control arrow</t>
        </is>
      </c>
      <c r="U145" t="n">
        <v>0</v>
      </c>
      <c r="V145" t="inlineStr">
        <is>
          <t>N/A — INWO uses Plots instead of group income/money</t>
        </is>
      </c>
      <c r="W145" t="inlineStr">
        <is>
          <t>Standard: 1 action token (Illuminati: 1 Illuminati action); verified mechanics state no override</t>
        </is>
      </c>
      <c r="X145" t="inlineStr">
        <is>
          <t>One copy in play at a time; spare copies act as hidden agents vs. a rival's copy; a destroyed Group cannot be replayed unless a card returns it (base rule)</t>
        </is>
      </c>
      <c r="Y145" t="inlineStr">
        <is>
          <t>None beyond base rules (verified mechanics state no override)</t>
        </is>
      </c>
      <c r="Z145" t="inlineStr">
        <is>
          <t>Standard response window (verified mechanics state no override)</t>
        </is>
      </c>
      <c r="AA145" t="inlineStr">
        <is>
          <t>Specific card overrides general rules</t>
        </is>
      </c>
      <c r="AB145" t="inlineStr">
        <is>
          <t>Indexed INWO Book, Groups section</t>
        </is>
      </c>
      <c r="AC145" t="inlineStr">
        <is>
          <t>FUNCTIONALLY COMPLETE</t>
        </is>
      </c>
      <c r="AE145" t="inlineStr">
        <is>
          <t>Indexed INWO Book / historical cross-check</t>
        </is>
      </c>
      <c r="AF145" t="inlineStr">
        <is>
          <t>EXACT EDGE POSITIONS VERIFIED</t>
        </is>
      </c>
      <c r="AG145" t="inlineStr">
        <is>
          <t>Verified from supplied original-card scan: Groups/INWO - Urban Gangs.png. Triangle orientation establishes IN=TOP, OUT=NONE.</t>
        </is>
      </c>
      <c r="AH145" t="inlineStr">
        <is>
          <t>TOP</t>
        </is>
      </c>
      <c r="AI145" t="inlineStr">
        <is>
          <t>NONE</t>
        </is>
      </c>
      <c r="AJ145" t="inlineStr">
        <is>
          <t>VERIFIED</t>
        </is>
      </c>
      <c r="AK145" t="inlineStr">
        <is>
          <t>Verified from supplied original-card scan: Groups/INWO - Urban Gangs.png. Triangle orientation establishes IN=TOP, OUT=NONE.</t>
        </is>
      </c>
    </row>
    <row r="146" ht="34" customHeight="1" s="16">
      <c r="A146" s="20" t="inlineStr">
        <is>
          <t>Vampires</t>
        </is>
      </c>
      <c r="B146" s="20" t="inlineStr">
        <is>
          <t>Group</t>
        </is>
      </c>
      <c r="C146" s="20" t="inlineStr">
        <is>
          <t>Organization</t>
        </is>
      </c>
      <c r="D146" s="20" t="inlineStr">
        <is>
          <t>Common</t>
        </is>
      </c>
      <c r="E146" s="20" t="inlineStr">
        <is>
          <t>2</t>
        </is>
      </c>
      <c r="F146" s="20" t="inlineStr">
        <is>
          <t>5</t>
        </is>
      </c>
      <c r="G146" s="20" t="inlineStr">
        <is>
          <t>Weird</t>
        </is>
      </c>
      <c r="H146" s="20" t="inlineStr">
        <is>
          <t>Secret, Magic</t>
        </is>
      </c>
      <c r="I146" s="20" t="inlineStr">
        <is>
          <t>+4 direct control of Personalities; a successfully controlled Personality becomes a Vampire and follows the special Magic-only destruction/permanent-death rules.</t>
        </is>
      </c>
      <c r="J146" s="20" t="inlineStr">
        <is>
          <t>Needs rules-engine encoding</t>
        </is>
      </c>
      <c r="K146" s="20" t="inlineStr">
        <is>
          <t>High</t>
        </is>
      </c>
      <c r="L146" s="20" t="inlineStr">
        <is>
          <t>Mechanics and outgoing-arrow count checked against the printed card; described in our own words. Exact physical edge placement tracked separately.</t>
        </is>
      </c>
      <c r="M146" s="20" t="inlineStr">
        <is>
          <t>https://www.scribd.com/document/851089808/TheINWOBook</t>
        </is>
      </c>
      <c r="N146" t="inlineStr">
        <is>
          <t>Passive or activated special ability</t>
        </is>
      </c>
      <c r="O146" t="inlineStr">
        <is>
          <t>Per card ability</t>
        </is>
      </c>
      <c r="Q146" t="inlineStr">
        <is>
          <t>While controlled / per effect</t>
        </is>
      </c>
      <c r="R146" t="inlineStr">
        <is>
          <t>+4 direct control of Personalities; a successfully controlled Personality becomes a Vampire and follows the special Magic-only destruction/permanent-death rules.</t>
        </is>
      </c>
      <c r="S146" t="inlineStr">
        <is>
          <t>NO</t>
        </is>
      </c>
      <c r="T146" t="inlineStr">
        <is>
          <t>1 incoming control arrow</t>
        </is>
      </c>
      <c r="U146" t="n">
        <v>1</v>
      </c>
      <c r="V146" t="inlineStr">
        <is>
          <t>N/A — INWO uses Plots instead of group income/money</t>
        </is>
      </c>
      <c r="W146" t="inlineStr">
        <is>
          <t>Standard: 1 action token (Illuminati: 1 Illuminati action); verified mechanics state no override</t>
        </is>
      </c>
      <c r="X146" t="inlineStr">
        <is>
          <t>One copy in play at a time; spare copies act as hidden agents vs. a rival's copy; a destroyed Group cannot be replayed unless a card returns it (base rule)</t>
        </is>
      </c>
      <c r="Y146" t="inlineStr">
        <is>
          <t>None beyond base rules (verified mechanics state no override)</t>
        </is>
      </c>
      <c r="Z146" t="inlineStr">
        <is>
          <t>Standard response window (verified mechanics state no override)</t>
        </is>
      </c>
      <c r="AA146" t="inlineStr">
        <is>
          <t>Specific card overrides general rules</t>
        </is>
      </c>
      <c r="AB146" t="inlineStr">
        <is>
          <t>Indexed INWO Book, Groups section</t>
        </is>
      </c>
      <c r="AC146" t="inlineStr">
        <is>
          <t>FUNCTIONALLY COMPLETE</t>
        </is>
      </c>
      <c r="AE146" t="inlineStr">
        <is>
          <t>Indexed INWO Book / historical cross-check</t>
        </is>
      </c>
      <c r="AF146" t="inlineStr">
        <is>
          <t>EXACT EDGE POSITIONS VERIFIED</t>
        </is>
      </c>
      <c r="AG146" t="inlineStr">
        <is>
          <t>Verified from supplied original-card scan: Groups/INWO - Vampires.png. Triangle orientation establishes IN=TOP, OUT=LEFT.</t>
        </is>
      </c>
      <c r="AH146" t="inlineStr">
        <is>
          <t>TOP</t>
        </is>
      </c>
      <c r="AI146" t="inlineStr">
        <is>
          <t>LEFT</t>
        </is>
      </c>
      <c r="AJ146" t="inlineStr">
        <is>
          <t>VERIFIED</t>
        </is>
      </c>
      <c r="AK146" t="inlineStr">
        <is>
          <t>Verified from supplied original-card scan: Groups/INWO - Vampires.png. Triangle orientation establishes IN=TOP, OUT=LEFT.</t>
        </is>
      </c>
    </row>
    <row r="147" ht="34" customHeight="1" s="16">
      <c r="A147" s="20" t="inlineStr">
        <is>
          <t>Video Games</t>
        </is>
      </c>
      <c r="B147" s="20" t="inlineStr">
        <is>
          <t>Group</t>
        </is>
      </c>
      <c r="C147" s="20" t="inlineStr">
        <is>
          <t>Organization</t>
        </is>
      </c>
      <c r="D147" s="20" t="inlineStr">
        <is>
          <t>Common</t>
        </is>
      </c>
      <c r="E147" s="20" t="inlineStr">
        <is>
          <t>2</t>
        </is>
      </c>
      <c r="F147" s="20" t="inlineStr">
        <is>
          <t>3</t>
        </is>
      </c>
      <c r="G147" s="20" t="inlineStr">
        <is>
          <t>None</t>
        </is>
      </c>
      <c r="H147" s="20" t="inlineStr">
        <is>
          <t>Computer</t>
        </is>
      </c>
      <c r="I147" s="20" t="inlineStr">
        <is>
          <t>+3 on any of your control attempts against a Computer group (or against Convenience Stores, a card not in this set); all your other Computer groups get +1 Power. [Official errata: +1 Power to all your other Computer Groups.]</t>
        </is>
      </c>
      <c r="J147" s="20" t="inlineStr">
        <is>
          <t>Needs rules-engine encoding</t>
        </is>
      </c>
      <c r="K147" s="20" t="inlineStr">
        <is>
          <t>High</t>
        </is>
      </c>
      <c r="L147" s="20" t="inlineStr">
        <is>
          <t>Mechanics and outgoing-arrow count checked against the printed card; described in our own words. Exact physical edge placement tracked separately.</t>
        </is>
      </c>
      <c r="M147" s="20" t="inlineStr">
        <is>
          <t>https://www.scribd.com/document/851089808/TheINWOBook</t>
        </is>
      </c>
      <c r="N147" t="inlineStr">
        <is>
          <t>Passive or activated special ability</t>
        </is>
      </c>
      <c r="O147" t="inlineStr">
        <is>
          <t>Per card ability</t>
        </is>
      </c>
      <c r="Q147" t="inlineStr">
        <is>
          <t>While controlled / per effect</t>
        </is>
      </c>
      <c r="R147" t="inlineStr">
        <is>
          <t>+3 on any control attempt against Convenience Stores or a Computer group; all your other Computer groups get +1 Power. [Official errata: +1 Power to all your other Computer Groups.]</t>
        </is>
      </c>
      <c r="S147" t="inlineStr">
        <is>
          <t>NO</t>
        </is>
      </c>
      <c r="T147" t="inlineStr">
        <is>
          <t>1 incoming control arrow</t>
        </is>
      </c>
      <c r="U147" t="n">
        <v>1</v>
      </c>
      <c r="V147" t="inlineStr">
        <is>
          <t>N/A — INWO uses Plots instead of group income/money</t>
        </is>
      </c>
      <c r="W147" t="inlineStr">
        <is>
          <t>Standard: 1 action token (Illuminati: 1 Illuminati action); verified mechanics state no override</t>
        </is>
      </c>
      <c r="X147" t="inlineStr">
        <is>
          <t>One copy in play at a time; spare copies act as hidden agents vs. a rival's copy; a destroyed Group cannot be replayed unless a card returns it (base rule)</t>
        </is>
      </c>
      <c r="Y147" t="inlineStr">
        <is>
          <t>None beyond base rules (verified mechanics state no override)</t>
        </is>
      </c>
      <c r="Z147" t="inlineStr">
        <is>
          <t>Standard response window (verified mechanics state no override)</t>
        </is>
      </c>
      <c r="AA147" t="inlineStr">
        <is>
          <t>Specific card overrides general rules</t>
        </is>
      </c>
      <c r="AB147" t="inlineStr">
        <is>
          <t>Indexed INWO Book, Groups section</t>
        </is>
      </c>
      <c r="AC147" t="inlineStr">
        <is>
          <t>FUNCTIONALLY COMPLETE</t>
        </is>
      </c>
      <c r="AE147" t="inlineStr">
        <is>
          <t>Indexed INWO Book / historical cross-check</t>
        </is>
      </c>
      <c r="AF147" t="inlineStr">
        <is>
          <t>EXACT EDGE POSITIONS VERIFIED</t>
        </is>
      </c>
      <c r="AG147" t="inlineStr">
        <is>
          <t>Verified from supplied original-card scan: Groups/INWO - Video Games.png. Triangle orientation establishes IN=BOTTOM, OUT=TOP.</t>
        </is>
      </c>
      <c r="AH147" t="inlineStr">
        <is>
          <t>BOTTOM</t>
        </is>
      </c>
      <c r="AI147" t="inlineStr">
        <is>
          <t>TOP</t>
        </is>
      </c>
      <c r="AJ147" t="inlineStr">
        <is>
          <t>VERIFIED</t>
        </is>
      </c>
      <c r="AK147" t="inlineStr">
        <is>
          <t>Verified from supplied original-card scan: Groups/INWO - Video Games.png. Triangle orientation establishes IN=BOTTOM, OUT=TOP.</t>
        </is>
      </c>
    </row>
    <row r="148" ht="34" customHeight="1" s="16">
      <c r="A148" s="20" t="inlineStr">
        <is>
          <t>Voudonistas</t>
        </is>
      </c>
      <c r="B148" s="20" t="inlineStr">
        <is>
          <t>Group</t>
        </is>
      </c>
      <c r="C148" s="20" t="inlineStr">
        <is>
          <t>Organization</t>
        </is>
      </c>
      <c r="D148" s="20" t="inlineStr">
        <is>
          <t>Uncommon</t>
        </is>
      </c>
      <c r="E148" s="20" t="inlineStr">
        <is>
          <t>1/1</t>
        </is>
      </c>
      <c r="F148" s="20" t="inlineStr">
        <is>
          <t>6</t>
        </is>
      </c>
      <c r="G148" s="20" t="inlineStr">
        <is>
          <t>Violent</t>
        </is>
      </c>
      <c r="H148" s="20" t="inlineStr">
        <is>
          <t>Magic</t>
        </is>
      </c>
      <c r="I148" s="20" t="inlineStr">
        <is>
          <t>+8 direct destruction of Personalities; +4 direct Assassination; non-Magic-specific Assassination defenses do not apply.</t>
        </is>
      </c>
      <c r="J148" s="20" t="inlineStr">
        <is>
          <t>Needs rules-engine encoding</t>
        </is>
      </c>
      <c r="K148" s="20" t="inlineStr">
        <is>
          <t>High</t>
        </is>
      </c>
      <c r="L148" s="20" t="inlineStr">
        <is>
          <t>Mechanics and outgoing-arrow count checked against the printed card; described in our own words. Exact physical edge placement tracked separately.</t>
        </is>
      </c>
      <c r="M148" s="20" t="inlineStr">
        <is>
          <t>https://www.scribd.com/document/851089808/TheINWOBook</t>
        </is>
      </c>
      <c r="N148" t="inlineStr">
        <is>
          <t>Passive or activated special ability</t>
        </is>
      </c>
      <c r="O148" t="inlineStr">
        <is>
          <t>Per card ability</t>
        </is>
      </c>
      <c r="Q148" t="inlineStr">
        <is>
          <t>While controlled / per effect</t>
        </is>
      </c>
      <c r="R148" t="inlineStr">
        <is>
          <t>+8 direct destruction of Personalities; +4 direct Assassination; non-Magic-specific Assassination defenses do not apply.</t>
        </is>
      </c>
      <c r="S148" t="inlineStr">
        <is>
          <t>NO</t>
        </is>
      </c>
      <c r="T148" t="inlineStr">
        <is>
          <t>1 incoming control arrow</t>
        </is>
      </c>
      <c r="U148" t="n">
        <v>1</v>
      </c>
      <c r="V148" t="inlineStr">
        <is>
          <t>N/A — INWO uses Plots instead of group income/money</t>
        </is>
      </c>
      <c r="W148" t="inlineStr">
        <is>
          <t>Standard: 1 action token (Illuminati: 1 Illuminati action); verified mechanics state no override</t>
        </is>
      </c>
      <c r="X148" t="inlineStr">
        <is>
          <t>One copy in play at a time; spare copies act as hidden agents vs. a rival's copy; a destroyed Group cannot be replayed unless a card returns it (base rule)</t>
        </is>
      </c>
      <c r="Y148" t="inlineStr">
        <is>
          <t>None beyond base rules (verified mechanics state no override)</t>
        </is>
      </c>
      <c r="Z148" t="inlineStr">
        <is>
          <t>Standard response window (verified mechanics state no override)</t>
        </is>
      </c>
      <c r="AA148" t="inlineStr">
        <is>
          <t>Specific card overrides general rules</t>
        </is>
      </c>
      <c r="AB148" t="inlineStr">
        <is>
          <t>Indexed INWO Book, Groups section</t>
        </is>
      </c>
      <c r="AC148" t="inlineStr">
        <is>
          <t>FUNCTIONALLY COMPLETE</t>
        </is>
      </c>
      <c r="AE148" t="inlineStr">
        <is>
          <t>Indexed INWO Book / historical cross-check</t>
        </is>
      </c>
      <c r="AF148" t="inlineStr">
        <is>
          <t>EXACT EDGE POSITIONS VERIFIED</t>
        </is>
      </c>
      <c r="AG148" t="inlineStr">
        <is>
          <t>Verified from supplied original-card scan: Groups/INWO - Voudonistas.png. Triangle orientation establishes IN=TOP, OUT=RIGHT.</t>
        </is>
      </c>
      <c r="AH148" t="inlineStr">
        <is>
          <t>TOP</t>
        </is>
      </c>
      <c r="AI148" t="inlineStr">
        <is>
          <t>RIGHT</t>
        </is>
      </c>
      <c r="AJ148" t="inlineStr">
        <is>
          <t>VERIFIED</t>
        </is>
      </c>
      <c r="AK148" t="inlineStr">
        <is>
          <t>Verified from supplied original-card scan: Groups/INWO - Voudonistas.png. Triangle orientation establishes IN=TOP, OUT=RIGHT.</t>
        </is>
      </c>
    </row>
    <row r="149" ht="34" customHeight="1" s="16">
      <c r="A149" s="20" t="inlineStr">
        <is>
          <t>Wall Street</t>
        </is>
      </c>
      <c r="B149" s="20" t="inlineStr">
        <is>
          <t>Group</t>
        </is>
      </c>
      <c r="C149" s="20" t="inlineStr">
        <is>
          <t>Organization</t>
        </is>
      </c>
      <c r="D149" s="20" t="inlineStr">
        <is>
          <t>Common</t>
        </is>
      </c>
      <c r="E149" s="20" t="inlineStr">
        <is>
          <t>4</t>
        </is>
      </c>
      <c r="F149" s="20" t="inlineStr">
        <is>
          <t>3</t>
        </is>
      </c>
      <c r="G149" s="20" t="inlineStr">
        <is>
          <t>Corporate</t>
        </is>
      </c>
      <c r="H149" s="20" t="inlineStr">
        <is>
          <t>Bank</t>
        </is>
      </c>
      <c r="I149" s="20" t="inlineStr">
        <is>
          <t>When making or aiding an attack, may treat Corporate as Government or Government as Corporate for Wall Street's participation; its puppets get +10 Resistance.</t>
        </is>
      </c>
      <c r="J149" s="20" t="inlineStr">
        <is>
          <t>Needs rules-engine encoding</t>
        </is>
      </c>
      <c r="K149" s="20" t="inlineStr">
        <is>
          <t>High</t>
        </is>
      </c>
      <c r="L149" s="20" t="inlineStr">
        <is>
          <t>Mechanics and outgoing-arrow count checked against the printed card; described in our own words. Exact physical edge placement tracked separately.</t>
        </is>
      </c>
      <c r="M149" s="20" t="inlineStr">
        <is>
          <t>https://www.scribd.com/document/851089808/TheINWOBook</t>
        </is>
      </c>
      <c r="N149" t="inlineStr">
        <is>
          <t>Passive or activated special ability</t>
        </is>
      </c>
      <c r="O149" t="inlineStr">
        <is>
          <t>Per card ability</t>
        </is>
      </c>
      <c r="Q149" t="inlineStr">
        <is>
          <t>While controlled / per effect</t>
        </is>
      </c>
      <c r="R149" t="inlineStr">
        <is>
          <t>When making or aiding an attack, may treat Corporate as Government or Government as Corporate for Wall Street's participation; its puppets get +10 Resistance.</t>
        </is>
      </c>
      <c r="S149" t="inlineStr">
        <is>
          <t>NO</t>
        </is>
      </c>
      <c r="T149" t="inlineStr">
        <is>
          <t>1 incoming control arrow</t>
        </is>
      </c>
      <c r="U149" t="n">
        <v>3</v>
      </c>
      <c r="V149" t="inlineStr">
        <is>
          <t>N/A — INWO uses Plots instead of group income/money</t>
        </is>
      </c>
      <c r="W149" t="inlineStr">
        <is>
          <t>Standard: 1 action token (Illuminati: 1 Illuminati action); verified mechanics state no override</t>
        </is>
      </c>
      <c r="X149" t="inlineStr">
        <is>
          <t>One copy in play at a time; spare copies act as hidden agents vs. a rival's copy; a destroyed Group cannot be replayed unless a card returns it (base rule)</t>
        </is>
      </c>
      <c r="Y149" t="inlineStr">
        <is>
          <t>None beyond base rules (verified mechanics state no override)</t>
        </is>
      </c>
      <c r="Z149" t="inlineStr">
        <is>
          <t>Standard response window (verified mechanics state no override)</t>
        </is>
      </c>
      <c r="AA149" t="inlineStr">
        <is>
          <t>Specific card overrides general rules</t>
        </is>
      </c>
      <c r="AB149" t="inlineStr">
        <is>
          <t>Indexed INWO Book, Groups section</t>
        </is>
      </c>
      <c r="AC149" t="inlineStr">
        <is>
          <t>FUNCTIONALLY COMPLETE</t>
        </is>
      </c>
      <c r="AE149" t="inlineStr">
        <is>
          <t>Indexed INWO Book / historical cross-check</t>
        </is>
      </c>
      <c r="AF149" t="inlineStr">
        <is>
          <t>EXACT EDGE POSITIONS VERIFIED</t>
        </is>
      </c>
      <c r="AG149" t="inlineStr">
        <is>
          <t>Verified from supplied original-card scan: Groups/INWO - Wall Street.png. Triangle orientation establishes IN=TOP, OUT=BOTTOM, LEFT, RIGHT.</t>
        </is>
      </c>
      <c r="AH149" t="inlineStr">
        <is>
          <t>TOP</t>
        </is>
      </c>
      <c r="AI149" t="inlineStr">
        <is>
          <t>BOTTOM, LEFT, RIGHT</t>
        </is>
      </c>
      <c r="AJ149" t="inlineStr">
        <is>
          <t>VERIFIED</t>
        </is>
      </c>
      <c r="AK149" t="inlineStr">
        <is>
          <t>Verified from supplied original-card scan: Groups/INWO - Wall Street.png. Triangle orientation establishes IN=TOP, OUT=BOTTOM, LEFT, RIGHT.</t>
        </is>
      </c>
    </row>
    <row r="150" ht="34" customHeight="1" s="16">
      <c r="A150" s="20" t="inlineStr">
        <is>
          <t>Wargamers</t>
        </is>
      </c>
      <c r="B150" s="20" t="inlineStr">
        <is>
          <t>Group</t>
        </is>
      </c>
      <c r="C150" s="20" t="inlineStr">
        <is>
          <t>Organization</t>
        </is>
      </c>
      <c r="D150" s="20" t="inlineStr">
        <is>
          <t>Common</t>
        </is>
      </c>
      <c r="E150" s="20" t="inlineStr">
        <is>
          <t>1</t>
        </is>
      </c>
      <c r="F150" s="20" t="inlineStr">
        <is>
          <t>5</t>
        </is>
      </c>
      <c r="G150" s="20" t="inlineStr">
        <is>
          <t>Weird</t>
        </is>
      </c>
      <c r="H150" s="20" t="inlineStr">
        <is>
          <t>Computer</t>
        </is>
      </c>
      <c r="I150" s="20" t="inlineStr">
        <is>
          <t>+2 on any control or destruction attempt against a Computer group; as an action put an exposed Plot on the bottom of its owner's deck.</t>
        </is>
      </c>
      <c r="J150" s="20" t="inlineStr">
        <is>
          <t>Needs rules-engine encoding</t>
        </is>
      </c>
      <c r="K150" s="20" t="inlineStr">
        <is>
          <t>High</t>
        </is>
      </c>
      <c r="L150" s="20" t="inlineStr">
        <is>
          <t>Mechanics and outgoing-arrow count checked against the printed card; described in our own words. Exact physical edge placement tracked separately.</t>
        </is>
      </c>
      <c r="M150" s="20" t="inlineStr">
        <is>
          <t>https://www.scribd.com/document/851089808/TheINWOBook</t>
        </is>
      </c>
      <c r="N150" t="inlineStr">
        <is>
          <t>Passive or activated special ability</t>
        </is>
      </c>
      <c r="O150" t="inlineStr">
        <is>
          <t>Per card ability</t>
        </is>
      </c>
      <c r="Q150" t="inlineStr">
        <is>
          <t>While controlled / per effect</t>
        </is>
      </c>
      <c r="R150" t="inlineStr">
        <is>
          <t>+2 on any control or destruction attempt against a Computer group; as an action put an exposed Plot on the bottom of its owner's deck.</t>
        </is>
      </c>
      <c r="S150" t="inlineStr">
        <is>
          <t>NO</t>
        </is>
      </c>
      <c r="T150" t="inlineStr">
        <is>
          <t>1 incoming control arrow</t>
        </is>
      </c>
      <c r="U150" t="n">
        <v>0</v>
      </c>
      <c r="V150" t="inlineStr">
        <is>
          <t>N/A — INWO uses Plots instead of group income/money</t>
        </is>
      </c>
      <c r="W150" t="inlineStr">
        <is>
          <t>Standard: 1 action token (Illuminati: 1 Illuminati action); verified mechanics state no override</t>
        </is>
      </c>
      <c r="X150" t="inlineStr">
        <is>
          <t>One copy in play at a time; spare copies act as hidden agents vs. a rival's copy; a destroyed Group cannot be replayed unless a card returns it (base rule)</t>
        </is>
      </c>
      <c r="Y150" t="inlineStr">
        <is>
          <t>None beyond base rules (verified mechanics state no override)</t>
        </is>
      </c>
      <c r="Z150" t="inlineStr">
        <is>
          <t>Standard response window (verified mechanics state no override)</t>
        </is>
      </c>
      <c r="AA150" t="inlineStr">
        <is>
          <t>Specific card overrides general rules</t>
        </is>
      </c>
      <c r="AB150" t="inlineStr">
        <is>
          <t>Indexed INWO Book, Groups section</t>
        </is>
      </c>
      <c r="AC150" t="inlineStr">
        <is>
          <t>FUNCTIONALLY COMPLETE</t>
        </is>
      </c>
      <c r="AE150" t="inlineStr">
        <is>
          <t>Indexed INWO Book / historical cross-check</t>
        </is>
      </c>
      <c r="AF150" t="inlineStr">
        <is>
          <t>EXACT EDGE POSITIONS VERIFIED</t>
        </is>
      </c>
      <c r="AG150" t="inlineStr">
        <is>
          <t>Verified from supplied original-card scan: Groups/INWO - Wargamers.png. Triangle orientation establishes IN=TOP, OUT=NONE.</t>
        </is>
      </c>
      <c r="AH150" t="inlineStr">
        <is>
          <t>TOP</t>
        </is>
      </c>
      <c r="AI150" t="inlineStr">
        <is>
          <t>NONE</t>
        </is>
      </c>
      <c r="AJ150" t="inlineStr">
        <is>
          <t>VERIFIED</t>
        </is>
      </c>
      <c r="AK150" t="inlineStr">
        <is>
          <t>Verified from supplied original-card scan: Groups/INWO - Wargamers.png. Triangle orientation establishes IN=TOP, OUT=NONE.</t>
        </is>
      </c>
    </row>
    <row r="151" ht="34" customHeight="1" s="16">
      <c r="A151" s="20" t="inlineStr">
        <is>
          <t>W.I.T.C.H.</t>
        </is>
      </c>
      <c r="B151" s="20" t="inlineStr">
        <is>
          <t>Group</t>
        </is>
      </c>
      <c r="C151" s="20" t="inlineStr">
        <is>
          <t>Organization</t>
        </is>
      </c>
      <c r="D151" s="20" t="inlineStr">
        <is>
          <t>Common</t>
        </is>
      </c>
      <c r="E151" s="20" t="inlineStr">
        <is>
          <t>3/2</t>
        </is>
      </c>
      <c r="F151" s="20" t="inlineStr">
        <is>
          <t>6</t>
        </is>
      </c>
      <c r="G151" s="20" t="inlineStr">
        <is>
          <t>Fanatic, Violent, Weird</t>
        </is>
      </c>
      <c r="H151" s="20" t="inlineStr">
        <is>
          <t>Magic</t>
        </is>
      </c>
      <c r="I151" s="20" t="inlineStr">
        <is>
          <t>As an action after a die roll, alter the roll by 1, or by 2 if a Magic group is involved.</t>
        </is>
      </c>
      <c r="J151" s="20" t="inlineStr">
        <is>
          <t>Needs rules-engine encoding</t>
        </is>
      </c>
      <c r="K151" s="20" t="inlineStr">
        <is>
          <t>High</t>
        </is>
      </c>
      <c r="L151" s="20" t="inlineStr">
        <is>
          <t>Mechanics and outgoing-arrow count checked against the printed card; described in our own words. Exact physical edge placement tracked separately.</t>
        </is>
      </c>
      <c r="M151" s="20" t="inlineStr">
        <is>
          <t>https://www.scribd.com/document/851089808/TheINWOBook</t>
        </is>
      </c>
      <c r="N151" t="inlineStr">
        <is>
          <t>Passive or activated special ability</t>
        </is>
      </c>
      <c r="O151" t="inlineStr">
        <is>
          <t>Per card ability</t>
        </is>
      </c>
      <c r="Q151" t="inlineStr">
        <is>
          <t>While controlled / per effect</t>
        </is>
      </c>
      <c r="R151" t="inlineStr">
        <is>
          <t>As an action after a die roll, alter the roll by 1, or by 2 if a Magic group is involved.</t>
        </is>
      </c>
      <c r="S151" t="inlineStr">
        <is>
          <t>NO</t>
        </is>
      </c>
      <c r="T151" t="inlineStr">
        <is>
          <t>1 incoming control arrow</t>
        </is>
      </c>
      <c r="U151" t="n">
        <v>1</v>
      </c>
      <c r="V151" t="inlineStr">
        <is>
          <t>N/A — INWO uses Plots instead of group income/money</t>
        </is>
      </c>
      <c r="W151" t="inlineStr">
        <is>
          <t>Standard: 1 action token (Illuminati: 1 Illuminati action); verified mechanics state no override</t>
        </is>
      </c>
      <c r="X151" t="inlineStr">
        <is>
          <t>One copy in play at a time; spare copies act as hidden agents vs. a rival's copy; a destroyed Group cannot be replayed unless a card returns it (base rule)</t>
        </is>
      </c>
      <c r="Y151" t="inlineStr">
        <is>
          <t>None beyond base rules (verified mechanics state no override)</t>
        </is>
      </c>
      <c r="Z151" t="inlineStr">
        <is>
          <t>Standard response window (verified mechanics state no override)</t>
        </is>
      </c>
      <c r="AA151" t="inlineStr">
        <is>
          <t>Specific card overrides general rules</t>
        </is>
      </c>
      <c r="AB151" t="inlineStr">
        <is>
          <t>Indexed INWO Book, Groups section</t>
        </is>
      </c>
      <c r="AC151" t="inlineStr">
        <is>
          <t>FUNCTIONALLY COMPLETE</t>
        </is>
      </c>
      <c r="AE151" t="inlineStr">
        <is>
          <t>Indexed INWO Book / historical cross-check</t>
        </is>
      </c>
      <c r="AF151" t="inlineStr">
        <is>
          <t>EXACT EDGE POSITIONS VERIFIED</t>
        </is>
      </c>
      <c r="AG151" t="inlineStr">
        <is>
          <t>Verified from supplied original-card scan: Groups/INWO - W.I.T.C.H..png. Triangle orientation establishes IN=TOP, OUT=BOTTOM.</t>
        </is>
      </c>
      <c r="AH151" t="inlineStr">
        <is>
          <t>TOP</t>
        </is>
      </c>
      <c r="AI151" t="inlineStr">
        <is>
          <t>BOTTOM</t>
        </is>
      </c>
      <c r="AJ151" t="inlineStr">
        <is>
          <t>VERIFIED</t>
        </is>
      </c>
      <c r="AK151" t="inlineStr">
        <is>
          <t>Verified from supplied original-card scan: Groups/INWO - W.I.T.C.H..png. Triangle orientation establishes IN=TOP, OUT=BOTTOM.</t>
        </is>
      </c>
    </row>
    <row r="152" ht="34" customHeight="1" s="16">
      <c r="A152" s="20" t="inlineStr">
        <is>
          <t>Al Gore</t>
        </is>
      </c>
      <c r="B152" s="20" t="inlineStr">
        <is>
          <t>Group</t>
        </is>
      </c>
      <c r="C152" s="20" t="inlineStr">
        <is>
          <t>Personality</t>
        </is>
      </c>
      <c r="D152" s="20" t="inlineStr">
        <is>
          <t>Common</t>
        </is>
      </c>
      <c r="E152" s="20" t="inlineStr">
        <is>
          <t>1/1</t>
        </is>
      </c>
      <c r="F152" s="20" t="inlineStr">
        <is>
          <t>4</t>
        </is>
      </c>
      <c r="G152" s="20" t="inlineStr">
        <is>
          <t>Liberal, Government</t>
        </is>
      </c>
      <c r="H152" s="20" t="inlineStr">
        <is>
          <t>Computer, Green</t>
        </is>
      </c>
      <c r="I152" s="20" t="inlineStr">
        <is>
          <t>+8 direct control of Green groups.</t>
        </is>
      </c>
      <c r="J152" s="20" t="inlineStr">
        <is>
          <t>Needs rules-engine encoding</t>
        </is>
      </c>
      <c r="K152" s="20" t="inlineStr">
        <is>
          <t>High</t>
        </is>
      </c>
      <c r="L152" s="20" t="inlineStr">
        <is>
          <t>Mechanics and outgoing-arrow count checked against the printed card; described in our own words. Exact physical edge placement tracked separately.</t>
        </is>
      </c>
      <c r="M152" s="20" t="inlineStr">
        <is>
          <t>https://www.scribd.com/document/851089808/TheINWOBook</t>
        </is>
      </c>
      <c r="N152" t="inlineStr">
        <is>
          <t>Passive or activated special ability</t>
        </is>
      </c>
      <c r="O152" t="inlineStr">
        <is>
          <t>Per card ability</t>
        </is>
      </c>
      <c r="Q152" t="inlineStr">
        <is>
          <t>While controlled / per effect</t>
        </is>
      </c>
      <c r="R152" t="inlineStr">
        <is>
          <t>+8 direct control of Green groups.</t>
        </is>
      </c>
      <c r="S152" t="inlineStr">
        <is>
          <t>NO</t>
        </is>
      </c>
      <c r="T152" t="inlineStr">
        <is>
          <t>1 incoming control arrow</t>
        </is>
      </c>
      <c r="U152" t="n">
        <v>2</v>
      </c>
      <c r="V152" t="inlineStr">
        <is>
          <t>N/A — INWO uses Plots instead of group income/money</t>
        </is>
      </c>
      <c r="W152" t="inlineStr">
        <is>
          <t>Standard: 1 action token (Illuminati: 1 Illuminati action); verified mechanics state no override</t>
        </is>
      </c>
      <c r="X152" t="inlineStr">
        <is>
          <t>One copy in play at a time; spare copies act as hidden agents vs. a rival's copy; a destroyed Group cannot be replayed unless a card returns it (base rule)</t>
        </is>
      </c>
      <c r="Y152" t="inlineStr">
        <is>
          <t>None beyond base rules (verified mechanics state no override)</t>
        </is>
      </c>
      <c r="Z152" t="inlineStr">
        <is>
          <t>Standard response window (verified mechanics state no override)</t>
        </is>
      </c>
      <c r="AA152" t="inlineStr">
        <is>
          <t>Specific card overrides general rules</t>
        </is>
      </c>
      <c r="AB152" t="inlineStr">
        <is>
          <t>Indexed INWO Book, Groups section</t>
        </is>
      </c>
      <c r="AC152" t="inlineStr">
        <is>
          <t>FUNCTIONALLY COMPLETE</t>
        </is>
      </c>
      <c r="AE152" t="inlineStr">
        <is>
          <t>Indexed INWO Book / historical cross-check</t>
        </is>
      </c>
      <c r="AF152" t="inlineStr">
        <is>
          <t>EXACT EDGE POSITIONS VERIFIED</t>
        </is>
      </c>
      <c r="AG152" t="inlineStr">
        <is>
          <t>Verified from supplied original-card scan: Groups/INWO - Al Gore.png. Triangle orientation establishes IN=TOP, OUT=BOTTOM, RIGHT.</t>
        </is>
      </c>
      <c r="AH152" t="inlineStr">
        <is>
          <t>TOP</t>
        </is>
      </c>
      <c r="AI152" t="inlineStr">
        <is>
          <t>BOTTOM, RIGHT</t>
        </is>
      </c>
      <c r="AJ152" t="inlineStr">
        <is>
          <t>VERIFIED</t>
        </is>
      </c>
      <c r="AK152" t="inlineStr">
        <is>
          <t>Verified from supplied original-card scan: Groups/INWO - Al Gore.png. Triangle orientation establishes IN=TOP, OUT=BOTTOM, RIGHT.</t>
        </is>
      </c>
    </row>
    <row r="153" ht="34" customHeight="1" s="16">
      <c r="A153" s="20" t="inlineStr">
        <is>
          <t>Bill Clinton</t>
        </is>
      </c>
      <c r="B153" s="20" t="inlineStr">
        <is>
          <t>Group</t>
        </is>
      </c>
      <c r="C153" s="20" t="inlineStr">
        <is>
          <t>Personality</t>
        </is>
      </c>
      <c r="D153" s="20" t="inlineStr">
        <is>
          <t>Common</t>
        </is>
      </c>
      <c r="E153" s="20" t="inlineStr">
        <is>
          <t>4</t>
        </is>
      </c>
      <c r="F153" s="20" t="inlineStr">
        <is>
          <t>2</t>
        </is>
      </c>
      <c r="G153" s="20" t="inlineStr">
        <is>
          <t>Straight, Liberal (conditional), Government</t>
        </is>
      </c>
      <c r="H153" s="20" t="str"/>
      <c r="I153" s="20" t="inlineStr">
        <is>
          <t>+3 to control U.S. Government groups and +8 direct control of Government groups. He counts as Liberal only when a die comes up 1-3: a fresh roll is made as each attack begins (it holds for that attack) and at the start of each turn (it holds for everything else).</t>
        </is>
      </c>
      <c r="J153" s="20" t="inlineStr">
        <is>
          <t>Needs rules-engine encoding</t>
        </is>
      </c>
      <c r="K153" s="20" t="inlineStr">
        <is>
          <t>High</t>
        </is>
      </c>
      <c r="L153" s="20" t="inlineStr">
        <is>
          <t>Mechanics and outgoing-arrow count checked against the printed card; described in our own words. Exact physical edge placement tracked separately.</t>
        </is>
      </c>
      <c r="M153" s="20" t="inlineStr">
        <is>
          <t>https://www.scribd.com/document/851089808/TheINWOBook</t>
        </is>
      </c>
      <c r="N153" t="inlineStr">
        <is>
          <t>Passive or activated special ability</t>
        </is>
      </c>
      <c r="O153" t="inlineStr">
        <is>
          <t>Per card ability</t>
        </is>
      </c>
      <c r="Q153" t="inlineStr">
        <is>
          <t>While controlled / per effect</t>
        </is>
      </c>
      <c r="R153" t="inlineStr">
        <is>
          <t>+3 to control U.S. Government groups and +8 direct control of Government groups; Liberal status is determined by die roll when relevant.</t>
        </is>
      </c>
      <c r="S153" t="inlineStr">
        <is>
          <t>NO</t>
        </is>
      </c>
      <c r="T153" t="inlineStr">
        <is>
          <t>1 incoming control arrow</t>
        </is>
      </c>
      <c r="U153" t="n">
        <v>2</v>
      </c>
      <c r="V153" t="inlineStr">
        <is>
          <t>N/A — INWO uses Plots instead of group income/money</t>
        </is>
      </c>
      <c r="W153" t="inlineStr">
        <is>
          <t>Standard: 1 action token (Illuminati: 1 Illuminati action); verified mechanics state no override</t>
        </is>
      </c>
      <c r="X153" t="inlineStr">
        <is>
          <t>One copy in play at a time; spare copies act as hidden agents vs. a rival's copy; a destroyed Group cannot be replayed unless a card returns it (base rule)</t>
        </is>
      </c>
      <c r="Y153" t="inlineStr">
        <is>
          <t>None beyond base rules (verified mechanics state no override)</t>
        </is>
      </c>
      <c r="Z153" t="inlineStr">
        <is>
          <t>Standard response window (verified mechanics state no override)</t>
        </is>
      </c>
      <c r="AA153" t="inlineStr">
        <is>
          <t>Specific card overrides general rules</t>
        </is>
      </c>
      <c r="AB153" t="inlineStr">
        <is>
          <t>Indexed INWO Book, Groups section</t>
        </is>
      </c>
      <c r="AC153" t="inlineStr">
        <is>
          <t>FUNCTIONALLY COMPLETE</t>
        </is>
      </c>
      <c r="AE153" t="inlineStr">
        <is>
          <t>Indexed INWO Book / historical cross-check</t>
        </is>
      </c>
      <c r="AF153" t="inlineStr">
        <is>
          <t>EXACT EDGE POSITIONS VERIFIED</t>
        </is>
      </c>
      <c r="AG153" t="inlineStr">
        <is>
          <t>Verified from supplied original-card scan: Groups/INWO - Bill Clinton.png. Triangle orientation establishes IN=TOP, OUT=LEFT, RIGHT.</t>
        </is>
      </c>
      <c r="AH153" t="inlineStr">
        <is>
          <t>TOP</t>
        </is>
      </c>
      <c r="AI153" t="inlineStr">
        <is>
          <t>LEFT, RIGHT</t>
        </is>
      </c>
      <c r="AJ153" t="inlineStr">
        <is>
          <t>VERIFIED</t>
        </is>
      </c>
      <c r="AK153" t="inlineStr">
        <is>
          <t>Verified from supplied original-card scan: Groups/INWO - Bill Clinton.png. Triangle orientation establishes IN=TOP, OUT=LEFT, RIGHT.</t>
        </is>
      </c>
    </row>
    <row r="154" ht="34" customHeight="1" s="16">
      <c r="A154" s="20" t="inlineStr">
        <is>
          <t>Bjorne</t>
        </is>
      </c>
      <c r="B154" s="20" t="inlineStr">
        <is>
          <t>Group</t>
        </is>
      </c>
      <c r="C154" s="20" t="inlineStr">
        <is>
          <t>Personality</t>
        </is>
      </c>
      <c r="D154" s="20" t="inlineStr">
        <is>
          <t>Common</t>
        </is>
      </c>
      <c r="E154" s="20" t="inlineStr">
        <is>
          <t>1</t>
        </is>
      </c>
      <c r="F154" s="20" t="inlineStr">
        <is>
          <t>4</t>
        </is>
      </c>
      <c r="G154" s="20" t="inlineStr">
        <is>
          <t>Peaceful</t>
        </is>
      </c>
      <c r="H154" s="20" t="inlineStr">
        <is>
          <t>Media</t>
        </is>
      </c>
      <c r="I154" s="20" t="inlineStr">
        <is>
          <t>+4 direct control of Media; gains an extra Action token for each Media group that is his own direct puppet; if destroyed, the destroyer draws one Plot plus one more per point of Bjorne's Power.</t>
        </is>
      </c>
      <c r="J154" s="20" t="inlineStr">
        <is>
          <t>Needs rules-engine encoding</t>
        </is>
      </c>
      <c r="K154" s="20" t="inlineStr">
        <is>
          <t>High</t>
        </is>
      </c>
      <c r="L154" s="20" t="inlineStr">
        <is>
          <t>Mechanics and outgoing-arrow count checked against the printed card; described in our own words. Exact physical edge placement tracked separately.</t>
        </is>
      </c>
      <c r="M154" s="20" t="inlineStr">
        <is>
          <t>https://www.scribd.com/document/851089808/TheINWOBook</t>
        </is>
      </c>
      <c r="N154" t="inlineStr">
        <is>
          <t>Passive or activated special ability</t>
        </is>
      </c>
      <c r="O154" t="inlineStr">
        <is>
          <t>Per card ability</t>
        </is>
      </c>
      <c r="Q154" t="inlineStr">
        <is>
          <t>While controlled / per effect</t>
        </is>
      </c>
      <c r="R154" t="inlineStr">
        <is>
          <t>+4 direct control of Media; gains an extra action for every Media group you directly control; if destroyed, the destroyer draws one Plot plus one more per point of Bjorne's Power.</t>
        </is>
      </c>
      <c r="S154" t="inlineStr">
        <is>
          <t>NO</t>
        </is>
      </c>
      <c r="T154" t="inlineStr">
        <is>
          <t>1 incoming control arrow</t>
        </is>
      </c>
      <c r="U154" t="n">
        <v>1</v>
      </c>
      <c r="V154" t="inlineStr">
        <is>
          <t>N/A — INWO uses Plots instead of group income/money</t>
        </is>
      </c>
      <c r="W154" t="inlineStr">
        <is>
          <t>Standard: 1 action token (Illuminati: 1 Illuminati action); verified mechanics state no override</t>
        </is>
      </c>
      <c r="X154" t="inlineStr">
        <is>
          <t>One copy in play at a time; spare copies act as hidden agents vs. a rival's copy; a destroyed Group cannot be replayed unless a card returns it (base rule)</t>
        </is>
      </c>
      <c r="Y154" t="inlineStr">
        <is>
          <t>None beyond base rules (verified mechanics state no override)</t>
        </is>
      </c>
      <c r="Z154" t="inlineStr">
        <is>
          <t>Standard response window (verified mechanics state no override)</t>
        </is>
      </c>
      <c r="AA154" t="inlineStr">
        <is>
          <t>Specific card overrides general rules</t>
        </is>
      </c>
      <c r="AB154" t="inlineStr">
        <is>
          <t>Indexed INWO Book, Groups section</t>
        </is>
      </c>
      <c r="AC154" t="inlineStr">
        <is>
          <t>FUNCTIONALLY COMPLETE</t>
        </is>
      </c>
      <c r="AE154" t="inlineStr">
        <is>
          <t>Indexed INWO Book / historical cross-check</t>
        </is>
      </c>
      <c r="AF154" t="inlineStr">
        <is>
          <t>EXACT EDGE POSITIONS VERIFIED</t>
        </is>
      </c>
      <c r="AG154" t="inlineStr">
        <is>
          <t>Verified from supplied original-card scan: Groups/INWO - Bjorne.png. Triangle orientation establishes IN=BOTTOM, OUT=TOP.</t>
        </is>
      </c>
      <c r="AH154" t="inlineStr">
        <is>
          <t>BOTTOM</t>
        </is>
      </c>
      <c r="AI154" t="inlineStr">
        <is>
          <t>TOP</t>
        </is>
      </c>
      <c r="AJ154" t="inlineStr">
        <is>
          <t>VERIFIED</t>
        </is>
      </c>
      <c r="AK154" t="inlineStr">
        <is>
          <t>Verified from supplied original-card scan: Groups/INWO - Bjorne.png. Triangle orientation establishes IN=BOTTOM, OUT=TOP.</t>
        </is>
      </c>
    </row>
    <row r="155" ht="34" customHeight="1" s="16">
      <c r="A155" s="20" t="inlineStr">
        <is>
          <t>Count Dracula</t>
        </is>
      </c>
      <c r="B155" s="20" t="inlineStr">
        <is>
          <t>Group</t>
        </is>
      </c>
      <c r="C155" s="20" t="inlineStr">
        <is>
          <t>Personality</t>
        </is>
      </c>
      <c r="D155" s="20" t="inlineStr">
        <is>
          <t>Rare</t>
        </is>
      </c>
      <c r="E155" s="20" t="inlineStr">
        <is>
          <t>2</t>
        </is>
      </c>
      <c r="F155" s="20" t="inlineStr">
        <is>
          <t>7</t>
        </is>
      </c>
      <c r="G155" s="20" t="inlineStr">
        <is>
          <t>Violent</t>
        </is>
      </c>
      <c r="H155" s="20" t="inlineStr">
        <is>
          <t>Magic</t>
        </is>
      </c>
      <c r="I155" s="20" t="inlineStr">
        <is>
          <t>+10 direct control of Vampires; can only be destroyed using Magic and then is permanently dead; linked Magic Artifacts cannot be taken/lost while he lives and are lost permanently if he dies.</t>
        </is>
      </c>
      <c r="J155" s="20" t="inlineStr">
        <is>
          <t>Needs rules-engine encoding</t>
        </is>
      </c>
      <c r="K155" s="20" t="inlineStr">
        <is>
          <t>High</t>
        </is>
      </c>
      <c r="L155" s="20" t="inlineStr">
        <is>
          <t>Mechanics and outgoing-arrow count checked against the printed card; described in our own words. Exact physical edge placement tracked separately.</t>
        </is>
      </c>
      <c r="M155" s="20" t="inlineStr">
        <is>
          <t>https://www.scribd.com/document/851089808/TheINWOBook</t>
        </is>
      </c>
      <c r="N155" t="inlineStr">
        <is>
          <t>Passive or activated special ability</t>
        </is>
      </c>
      <c r="O155" t="inlineStr">
        <is>
          <t>Per card ability</t>
        </is>
      </c>
      <c r="Q155" t="inlineStr">
        <is>
          <t>While controlled / per effect</t>
        </is>
      </c>
      <c r="R155" t="inlineStr">
        <is>
          <t>+10 direct control of Vampires; can only be destroyed using Magic and then is permanently dead; linked Magic Artifacts cannot be taken/lost while he lives and are lost permanently if he dies.</t>
        </is>
      </c>
      <c r="S155" t="inlineStr">
        <is>
          <t>NO</t>
        </is>
      </c>
      <c r="T155" t="inlineStr">
        <is>
          <t>1 incoming control arrow</t>
        </is>
      </c>
      <c r="U155" t="n">
        <v>1</v>
      </c>
      <c r="V155" t="inlineStr">
        <is>
          <t>N/A — INWO uses Plots instead of group income/money</t>
        </is>
      </c>
      <c r="W155" t="inlineStr">
        <is>
          <t>Standard: 1 action token (Illuminati: 1 Illuminati action); verified mechanics state no override</t>
        </is>
      </c>
      <c r="X155" t="inlineStr">
        <is>
          <t>One copy in play at a time; spare copies act as hidden agents vs. a rival's copy; a destroyed Group cannot be replayed unless a card returns it (base rule)</t>
        </is>
      </c>
      <c r="Y155" t="inlineStr">
        <is>
          <t>None beyond base rules (verified mechanics state no override)</t>
        </is>
      </c>
      <c r="Z155" t="inlineStr">
        <is>
          <t>Standard response window (verified mechanics state no override)</t>
        </is>
      </c>
      <c r="AA155" t="inlineStr">
        <is>
          <t>Specific card overrides general rules</t>
        </is>
      </c>
      <c r="AB155" t="inlineStr">
        <is>
          <t>Indexed INWO Book, Groups section</t>
        </is>
      </c>
      <c r="AC155" t="inlineStr">
        <is>
          <t>FUNCTIONALLY COMPLETE</t>
        </is>
      </c>
      <c r="AE155" t="inlineStr">
        <is>
          <t>Indexed INWO Book / historical cross-check</t>
        </is>
      </c>
      <c r="AF155" t="inlineStr">
        <is>
          <t>EXACT EDGE POSITIONS VERIFIED</t>
        </is>
      </c>
      <c r="AG155" t="inlineStr">
        <is>
          <t>Verified from supplied original-card scan: Groups/INWO - Count Dracula.png. Triangle orientation establishes IN=TOP, OUT=RIGHT.</t>
        </is>
      </c>
      <c r="AH155" t="inlineStr">
        <is>
          <t>TOP</t>
        </is>
      </c>
      <c r="AI155" t="inlineStr">
        <is>
          <t>RIGHT</t>
        </is>
      </c>
      <c r="AJ155" t="inlineStr">
        <is>
          <t>VERIFIED</t>
        </is>
      </c>
      <c r="AK155" t="inlineStr">
        <is>
          <t>Verified from supplied original-card scan: Groups/INWO - Count Dracula.png. Triangle orientation establishes IN=TOP, OUT=RIGHT.</t>
        </is>
      </c>
    </row>
    <row r="156" ht="34" customHeight="1" s="16">
      <c r="A156" s="20" t="inlineStr">
        <is>
          <t>Dan Quayle</t>
        </is>
      </c>
      <c r="B156" s="20" t="inlineStr">
        <is>
          <t>Group</t>
        </is>
      </c>
      <c r="C156" s="20" t="inlineStr">
        <is>
          <t>Personality</t>
        </is>
      </c>
      <c r="D156" s="20" t="inlineStr">
        <is>
          <t>Common</t>
        </is>
      </c>
      <c r="E156" s="20" t="inlineStr">
        <is>
          <t>1</t>
        </is>
      </c>
      <c r="F156" s="20" t="inlineStr">
        <is>
          <t>1</t>
        </is>
      </c>
      <c r="G156" s="20" t="inlineStr">
        <is>
          <t>Straight, Conservative</t>
        </is>
      </c>
      <c r="H156" s="20" t="str"/>
      <c r="I156" s="20" t="inlineStr">
        <is>
          <t>As an action, cancel a Media group's action.</t>
        </is>
      </c>
      <c r="J156" s="20" t="inlineStr">
        <is>
          <t>Needs rules-engine encoding</t>
        </is>
      </c>
      <c r="K156" s="20" t="inlineStr">
        <is>
          <t>High</t>
        </is>
      </c>
      <c r="L156" s="20" t="inlineStr">
        <is>
          <t>Mechanics and outgoing-arrow count checked against the printed card; described in our own words. Exact physical edge placement tracked separately.</t>
        </is>
      </c>
      <c r="M156" s="20" t="inlineStr">
        <is>
          <t>https://www.scribd.com/document/851089808/TheINWOBook</t>
        </is>
      </c>
      <c r="N156" t="inlineStr">
        <is>
          <t>Passive or activated special ability</t>
        </is>
      </c>
      <c r="O156" t="inlineStr">
        <is>
          <t>Per card ability</t>
        </is>
      </c>
      <c r="Q156" t="inlineStr">
        <is>
          <t>While controlled / per effect</t>
        </is>
      </c>
      <c r="R156" t="inlineStr">
        <is>
          <t>As an action, cancel a Media group's action.</t>
        </is>
      </c>
      <c r="S156" t="inlineStr">
        <is>
          <t>NO</t>
        </is>
      </c>
      <c r="T156" t="inlineStr">
        <is>
          <t>1 incoming control arrow</t>
        </is>
      </c>
      <c r="U156" t="n">
        <v>1</v>
      </c>
      <c r="V156" t="inlineStr">
        <is>
          <t>N/A — INWO uses Plots instead of group income/money</t>
        </is>
      </c>
      <c r="W156" t="inlineStr">
        <is>
          <t>Standard: 1 action token (Illuminati: 1 Illuminati action); verified mechanics state no override</t>
        </is>
      </c>
      <c r="X156" t="inlineStr">
        <is>
          <t>One copy in play at a time; spare copies act as hidden agents vs. a rival's copy; a destroyed Group cannot be replayed unless a card returns it (base rule)</t>
        </is>
      </c>
      <c r="Y156" t="inlineStr">
        <is>
          <t>None beyond base rules (verified mechanics state no override)</t>
        </is>
      </c>
      <c r="Z156" t="inlineStr">
        <is>
          <t>Standard response window (verified mechanics state no override)</t>
        </is>
      </c>
      <c r="AA156" t="inlineStr">
        <is>
          <t>Specific card overrides general rules</t>
        </is>
      </c>
      <c r="AB156" t="inlineStr">
        <is>
          <t>Indexed INWO Book, Groups section</t>
        </is>
      </c>
      <c r="AC156" t="inlineStr">
        <is>
          <t>FUNCTIONALLY COMPLETE</t>
        </is>
      </c>
      <c r="AE156" t="inlineStr">
        <is>
          <t>Indexed INWO Book / historical cross-check</t>
        </is>
      </c>
      <c r="AF156" t="inlineStr">
        <is>
          <t>EXACT EDGE POSITIONS VERIFIED</t>
        </is>
      </c>
      <c r="AG156" t="inlineStr">
        <is>
          <t>Verified from supplied original-card scan: Groups/INWO - Dan Quayle.png. Triangle orientation establishes IN=TOP, OUT=LEFT.</t>
        </is>
      </c>
      <c r="AH156" t="inlineStr">
        <is>
          <t>TOP</t>
        </is>
      </c>
      <c r="AI156" t="inlineStr">
        <is>
          <t>LEFT</t>
        </is>
      </c>
      <c r="AJ156" t="inlineStr">
        <is>
          <t>VERIFIED</t>
        </is>
      </c>
      <c r="AK156" t="inlineStr">
        <is>
          <t>Verified from supplied original-card scan: Groups/INWO - Dan Quayle.png. Triangle orientation establishes IN=TOP, OUT=LEFT.</t>
        </is>
      </c>
    </row>
    <row r="157" ht="34" customHeight="1" s="16">
      <c r="A157" s="20" t="inlineStr">
        <is>
          <t>Elvis</t>
        </is>
      </c>
      <c r="B157" s="20" t="inlineStr">
        <is>
          <t>Group</t>
        </is>
      </c>
      <c r="C157" s="20" t="inlineStr">
        <is>
          <t>Personality</t>
        </is>
      </c>
      <c r="D157" s="20" t="inlineStr">
        <is>
          <t>Rare</t>
        </is>
      </c>
      <c r="E157" s="20" t="inlineStr">
        <is>
          <t>1/1</t>
        </is>
      </c>
      <c r="F157" s="20" t="inlineStr">
        <is>
          <t>4</t>
        </is>
      </c>
      <c r="G157" s="20" t="inlineStr">
        <is>
          <t>None</t>
        </is>
      </c>
      <c r="H157" s="20" t="n"/>
      <c r="I157" s="20" t="inlineStr">
        <is>
          <t>Elvis may spend his action to cancel an action made by a Media group. He also gets +6 when he leads an Attack to Control against the Church of Elvis.</t>
        </is>
      </c>
      <c r="J157" s="20" t="inlineStr">
        <is>
          <t>Needs rules-engine encoding</t>
        </is>
      </c>
      <c r="K157" s="20" t="inlineStr">
        <is>
          <t>High</t>
        </is>
      </c>
      <c r="L157" s="20" t="inlineStr">
        <is>
          <t>One incoming arrow (top) and one outgoing arrow (right).</t>
        </is>
      </c>
      <c r="M157" s="20" t="inlineStr">
        <is>
          <t>https://github.com/Cha0smagick/Virtual-Illuminati-New-World-order-INWO-game</t>
        </is>
      </c>
      <c r="N157" t="inlineStr">
        <is>
          <t>Ability: in response to a Media group's action (uses Elvis's action); bonus passive</t>
        </is>
      </c>
      <c r="O157" t="inlineStr">
        <is>
          <t>Any Media group's action; Church of Elvis</t>
        </is>
      </c>
      <c r="P157" t="inlineStr">
        <is>
          <t>Action of Elvis (for the cancel ability)</t>
        </is>
      </c>
      <c r="Q157" t="inlineStr">
        <is>
          <t>Cancel: immediate; bonus: permanent while in play</t>
        </is>
      </c>
      <c r="R157" t="inlineStr">
        <is>
          <t>Cancel one Media group action; +6 to direct control of Church of Elvis</t>
        </is>
      </c>
      <c r="S157" t="inlineStr">
        <is>
          <t>NO</t>
        </is>
      </c>
      <c r="T157" t="inlineStr">
        <is>
          <t>1 incoming control arrow</t>
        </is>
      </c>
      <c r="U157" t="n">
        <v>1</v>
      </c>
      <c r="V157" t="inlineStr">
        <is>
          <t>N/A — INWO uses Plots instead of group income/money</t>
        </is>
      </c>
      <c r="W157" t="inlineStr">
        <is>
          <t>Normal (1 action token); ability uses it</t>
        </is>
      </c>
      <c r="X157" t="inlineStr">
        <is>
          <t>No card-specific limit (base duplicate rules apply)</t>
        </is>
      </c>
      <c r="Y157" t="inlineStr">
        <is>
          <t>Cancel ability only against an action by a Media group</t>
        </is>
      </c>
      <c r="Z157" t="inlineStr">
        <is>
          <t>Standard response window</t>
        </is>
      </c>
      <c r="AA157" t="inlineStr">
        <is>
          <t>Specific card overrides general rules</t>
        </is>
      </c>
      <c r="AB157" t="inlineStr">
        <is>
          <t>Full card scan read; behaviour paraphrased (no card text copied)</t>
        </is>
      </c>
      <c r="AC157" t="inlineStr">
        <is>
          <t>FUNCTIONALLY COMPLETE</t>
        </is>
      </c>
      <c r="AD157" t="inlineStr">
        <is>
          <t>None</t>
        </is>
      </c>
      <c r="AE157" t="inlineStr">
        <is>
          <t>Card scan (GitHub: Cha0smagick/Virtual-Illuminati-New-World-order-INWO-game), read Sep 2026</t>
        </is>
      </c>
      <c r="AF157" t="inlineStr">
        <is>
          <t>EXACT EDGE POSITIONS VERIFIED</t>
        </is>
      </c>
      <c r="AG157" t="inlineStr">
        <is>
          <t>Verified from supplied original-card scan: Groups/INWO - Elvis.png. Triangle orientation establishes IN=TOP, OUT=RIGHT.</t>
        </is>
      </c>
      <c r="AH157" t="inlineStr">
        <is>
          <t>TOP</t>
        </is>
      </c>
      <c r="AI157" t="inlineStr">
        <is>
          <t>RIGHT</t>
        </is>
      </c>
      <c r="AJ157" t="inlineStr">
        <is>
          <t>VERIFIED</t>
        </is>
      </c>
      <c r="AK157" t="inlineStr">
        <is>
          <t>Verified from supplied original-card scan: Groups/INWO - Elvis.png. Triangle orientation establishes IN=TOP, OUT=RIGHT.</t>
        </is>
      </c>
    </row>
    <row r="158" ht="34" customHeight="1" s="16">
      <c r="A158" s="20" t="inlineStr">
        <is>
          <t>Fidel Castro</t>
        </is>
      </c>
      <c r="B158" s="20" t="inlineStr">
        <is>
          <t>Group</t>
        </is>
      </c>
      <c r="C158" s="20" t="inlineStr">
        <is>
          <t>Personality</t>
        </is>
      </c>
      <c r="D158" s="20" t="inlineStr">
        <is>
          <t>Uncommon</t>
        </is>
      </c>
      <c r="E158" s="20" t="inlineStr">
        <is>
          <t>1</t>
        </is>
      </c>
      <c r="F158" s="20" t="inlineStr">
        <is>
          <t>6</t>
        </is>
      </c>
      <c r="G158" s="20" t="inlineStr">
        <is>
          <t>Liberal, Government</t>
        </is>
      </c>
      <c r="H158" s="20" t="inlineStr">
        <is>
          <t>Communist</t>
        </is>
      </c>
      <c r="I158" s="20" t="inlineStr">
        <is>
          <t>May hide one Plot linked beneath him so it cannot be exposed; may relink on your turn after the Plot is used.</t>
        </is>
      </c>
      <c r="J158" s="20" t="inlineStr">
        <is>
          <t>Needs rules-engine encoding</t>
        </is>
      </c>
      <c r="K158" s="20" t="inlineStr">
        <is>
          <t>High</t>
        </is>
      </c>
      <c r="L158" s="20" t="inlineStr">
        <is>
          <t>Mechanics and outgoing-arrow count checked against the printed card; described in our own words. Exact physical edge placement tracked separately.</t>
        </is>
      </c>
      <c r="M158" s="20" t="inlineStr">
        <is>
          <t>https://www.scribd.com/document/851089808/TheINWOBook</t>
        </is>
      </c>
      <c r="N158" t="inlineStr">
        <is>
          <t>Passive or activated special ability</t>
        </is>
      </c>
      <c r="O158" t="inlineStr">
        <is>
          <t>Per card ability</t>
        </is>
      </c>
      <c r="Q158" t="inlineStr">
        <is>
          <t>While controlled / per effect</t>
        </is>
      </c>
      <c r="R158" t="inlineStr">
        <is>
          <t>May hide one Plot linked beneath him so it cannot be exposed; may relink on your turn after the Plot is used.</t>
        </is>
      </c>
      <c r="S158" t="inlineStr">
        <is>
          <t>NO</t>
        </is>
      </c>
      <c r="T158" t="inlineStr">
        <is>
          <t>1 incoming control arrow</t>
        </is>
      </c>
      <c r="U158" t="n">
        <v>1</v>
      </c>
      <c r="V158" t="inlineStr">
        <is>
          <t>N/A — INWO uses Plots instead of group income/money</t>
        </is>
      </c>
      <c r="W158" t="inlineStr">
        <is>
          <t>Standard: 1 action token (Illuminati: 1 Illuminati action); verified mechanics state no override</t>
        </is>
      </c>
      <c r="X158" t="inlineStr">
        <is>
          <t>One copy in play at a time; spare copies act as hidden agents vs. a rival's copy; a destroyed Group cannot be replayed unless a card returns it (base rule)</t>
        </is>
      </c>
      <c r="Y158" t="inlineStr">
        <is>
          <t>None beyond base rules (verified mechanics state no override)</t>
        </is>
      </c>
      <c r="Z158" t="inlineStr">
        <is>
          <t>Standard response window (verified mechanics state no override)</t>
        </is>
      </c>
      <c r="AA158" t="inlineStr">
        <is>
          <t>Specific card overrides general rules</t>
        </is>
      </c>
      <c r="AB158" t="inlineStr">
        <is>
          <t>Indexed INWO Book, Groups section</t>
        </is>
      </c>
      <c r="AC158" t="inlineStr">
        <is>
          <t>FUNCTIONALLY COMPLETE</t>
        </is>
      </c>
      <c r="AE158" t="inlineStr">
        <is>
          <t>Indexed INWO Book / historical cross-check</t>
        </is>
      </c>
      <c r="AF158" t="inlineStr">
        <is>
          <t>EXACT EDGE POSITIONS VERIFIED</t>
        </is>
      </c>
      <c r="AG158" t="inlineStr">
        <is>
          <t>Verified from supplied original-card scan: Groups/INWO - Fidel Castro.png. Triangle orientation establishes IN=TOP, OUT=BOTTOM.</t>
        </is>
      </c>
      <c r="AH158" t="inlineStr">
        <is>
          <t>TOP</t>
        </is>
      </c>
      <c r="AI158" t="inlineStr">
        <is>
          <t>BOTTOM</t>
        </is>
      </c>
      <c r="AJ158" t="inlineStr">
        <is>
          <t>VERIFIED</t>
        </is>
      </c>
      <c r="AK158" t="inlineStr">
        <is>
          <t>Verified from supplied original-card scan: Groups/INWO - Fidel Castro.png. Triangle orientation establishes IN=TOP, OUT=BOTTOM.</t>
        </is>
      </c>
    </row>
    <row r="159" ht="34" customHeight="1" s="16">
      <c r="A159" s="20" t="inlineStr">
        <is>
          <t>George Bush</t>
        </is>
      </c>
      <c r="B159" s="20" t="inlineStr">
        <is>
          <t>Group</t>
        </is>
      </c>
      <c r="C159" s="20" t="inlineStr">
        <is>
          <t>Personality</t>
        </is>
      </c>
      <c r="D159" s="20" t="inlineStr">
        <is>
          <t>Common</t>
        </is>
      </c>
      <c r="E159" s="20" t="inlineStr">
        <is>
          <t>2</t>
        </is>
      </c>
      <c r="F159" s="20" t="inlineStr">
        <is>
          <t>3</t>
        </is>
      </c>
      <c r="G159" s="20" t="inlineStr">
        <is>
          <t>Straight, Conservative (conditional)</t>
        </is>
      </c>
      <c r="H159" s="20" t="str"/>
      <c r="I159" s="20" t="inlineStr">
        <is>
          <t>Controller chooses whether he counts as Conservative whenever that status becomes relevant.</t>
        </is>
      </c>
      <c r="J159" s="20" t="inlineStr">
        <is>
          <t>Needs rules-engine encoding</t>
        </is>
      </c>
      <c r="K159" s="20" t="inlineStr">
        <is>
          <t>High</t>
        </is>
      </c>
      <c r="L159" s="20" t="inlineStr">
        <is>
          <t>Mechanics and outgoing-arrow count checked against the printed card; described in our own words. Exact physical edge placement tracked separately.</t>
        </is>
      </c>
      <c r="M159" s="20" t="inlineStr">
        <is>
          <t>https://www.scribd.com/document/851089808/TheINWOBook</t>
        </is>
      </c>
      <c r="N159" t="inlineStr">
        <is>
          <t>Passive or activated special ability</t>
        </is>
      </c>
      <c r="O159" t="inlineStr">
        <is>
          <t>Per card ability</t>
        </is>
      </c>
      <c r="Q159" t="inlineStr">
        <is>
          <t>While controlled / per effect</t>
        </is>
      </c>
      <c r="R159" t="inlineStr">
        <is>
          <t>Controller chooses whether he counts as Conservative whenever that status becomes relevant.</t>
        </is>
      </c>
      <c r="S159" t="inlineStr">
        <is>
          <t>NO</t>
        </is>
      </c>
      <c r="T159" t="inlineStr">
        <is>
          <t>1 incoming control arrow</t>
        </is>
      </c>
      <c r="U159" t="n">
        <v>1</v>
      </c>
      <c r="V159" t="inlineStr">
        <is>
          <t>N/A — INWO uses Plots instead of group income/money</t>
        </is>
      </c>
      <c r="W159" t="inlineStr">
        <is>
          <t>Standard: 1 action token (Illuminati: 1 Illuminati action); verified mechanics state no override</t>
        </is>
      </c>
      <c r="X159" t="inlineStr">
        <is>
          <t>One copy in play at a time; spare copies act as hidden agents vs. a rival's copy; a destroyed Group cannot be replayed unless a card returns it (base rule)</t>
        </is>
      </c>
      <c r="Y159" t="inlineStr">
        <is>
          <t>None beyond base rules (verified mechanics state no override)</t>
        </is>
      </c>
      <c r="Z159" t="inlineStr">
        <is>
          <t>Standard response window (verified mechanics state no override)</t>
        </is>
      </c>
      <c r="AA159" t="inlineStr">
        <is>
          <t>Specific card overrides general rules</t>
        </is>
      </c>
      <c r="AB159" t="inlineStr">
        <is>
          <t>Indexed INWO Book, Groups section</t>
        </is>
      </c>
      <c r="AC159" t="inlineStr">
        <is>
          <t>FUNCTIONALLY COMPLETE</t>
        </is>
      </c>
      <c r="AE159" t="inlineStr">
        <is>
          <t>Indexed INWO Book / historical cross-check</t>
        </is>
      </c>
      <c r="AF159" t="inlineStr">
        <is>
          <t>EXACT EDGE POSITIONS VERIFIED</t>
        </is>
      </c>
      <c r="AG159" t="inlineStr">
        <is>
          <t>Verified from supplied original-card scan: Groups/INWO - George Bush.png. Triangle orientation establishes IN=TOP, OUT=RIGHT.</t>
        </is>
      </c>
      <c r="AH159" t="inlineStr">
        <is>
          <t>TOP</t>
        </is>
      </c>
      <c r="AI159" t="inlineStr">
        <is>
          <t>RIGHT</t>
        </is>
      </c>
      <c r="AJ159" t="inlineStr">
        <is>
          <t>VERIFIED</t>
        </is>
      </c>
      <c r="AK159" t="inlineStr">
        <is>
          <t>Verified from supplied original-card scan: Groups/INWO - George Bush.png. Triangle orientation establishes IN=TOP, OUT=RIGHT.</t>
        </is>
      </c>
    </row>
    <row r="160" ht="34" customHeight="1" s="16">
      <c r="A160" s="20" t="inlineStr">
        <is>
          <t>Gordo Remora</t>
        </is>
      </c>
      <c r="B160" s="20" t="inlineStr">
        <is>
          <t>Group</t>
        </is>
      </c>
      <c r="C160" s="20" t="inlineStr">
        <is>
          <t>Personality</t>
        </is>
      </c>
      <c r="D160" s="20" t="inlineStr">
        <is>
          <t>Common</t>
        </is>
      </c>
      <c r="E160" s="20" t="inlineStr">
        <is>
          <t>1</t>
        </is>
      </c>
      <c r="F160" s="20" t="inlineStr">
        <is>
          <t>0</t>
        </is>
      </c>
      <c r="G160" s="20" t="inlineStr">
        <is>
          <t>Liberal</t>
        </is>
      </c>
      <c r="H160" s="20" t="inlineStr">
        <is>
          <t>Media</t>
        </is>
      </c>
      <c r="I160" s="20" t="inlineStr">
        <is>
          <t>+10 direct destruction of Weird groups.</t>
        </is>
      </c>
      <c r="J160" s="20" t="inlineStr">
        <is>
          <t>Needs rules-engine encoding</t>
        </is>
      </c>
      <c r="K160" s="20" t="inlineStr">
        <is>
          <t>High</t>
        </is>
      </c>
      <c r="L160" s="20" t="inlineStr">
        <is>
          <t>Mechanics and outgoing-arrow count checked against the printed card; described in our own words. Exact physical edge placement tracked separately.</t>
        </is>
      </c>
      <c r="M160" s="20" t="inlineStr">
        <is>
          <t>https://www.scribd.com/document/851089808/TheINWOBook</t>
        </is>
      </c>
      <c r="N160" t="inlineStr">
        <is>
          <t>Passive or activated special ability</t>
        </is>
      </c>
      <c r="O160" t="inlineStr">
        <is>
          <t>Per card ability</t>
        </is>
      </c>
      <c r="Q160" t="inlineStr">
        <is>
          <t>While controlled / per effect</t>
        </is>
      </c>
      <c r="R160" t="inlineStr">
        <is>
          <t>+10 direct destruction of Weird groups.</t>
        </is>
      </c>
      <c r="S160" t="inlineStr">
        <is>
          <t>NO</t>
        </is>
      </c>
      <c r="T160" t="inlineStr">
        <is>
          <t>1 incoming control arrow</t>
        </is>
      </c>
      <c r="U160" t="n">
        <v>1</v>
      </c>
      <c r="V160" t="inlineStr">
        <is>
          <t>N/A — INWO uses Plots instead of group income/money</t>
        </is>
      </c>
      <c r="W160" t="inlineStr">
        <is>
          <t>Standard: 1 action token (Illuminati: 1 Illuminati action); verified mechanics state no override</t>
        </is>
      </c>
      <c r="X160" t="inlineStr">
        <is>
          <t>One copy in play at a time; spare copies act as hidden agents vs. a rival's copy; a destroyed Group cannot be replayed unless a card returns it (base rule)</t>
        </is>
      </c>
      <c r="Y160" t="inlineStr">
        <is>
          <t>None beyond base rules (verified mechanics state no override)</t>
        </is>
      </c>
      <c r="Z160" t="inlineStr">
        <is>
          <t>Standard response window (verified mechanics state no override)</t>
        </is>
      </c>
      <c r="AA160" t="inlineStr">
        <is>
          <t>Specific card overrides general rules</t>
        </is>
      </c>
      <c r="AB160" t="inlineStr">
        <is>
          <t>Indexed INWO Book, Groups section</t>
        </is>
      </c>
      <c r="AC160" t="inlineStr">
        <is>
          <t>FUNCTIONALLY COMPLETE</t>
        </is>
      </c>
      <c r="AE160" t="inlineStr">
        <is>
          <t>Indexed INWO Book / historical cross-check</t>
        </is>
      </c>
      <c r="AF160" t="inlineStr">
        <is>
          <t>EXACT EDGE POSITIONS VERIFIED</t>
        </is>
      </c>
      <c r="AG160" t="inlineStr">
        <is>
          <t>Verified from supplied original-card scan: Groups/INWO - Gordo Remora.png. Triangle orientation establishes IN=TOP, OUT=RIGHT.</t>
        </is>
      </c>
      <c r="AH160" t="inlineStr">
        <is>
          <t>TOP</t>
        </is>
      </c>
      <c r="AI160" t="inlineStr">
        <is>
          <t>RIGHT</t>
        </is>
      </c>
      <c r="AJ160" t="inlineStr">
        <is>
          <t>VERIFIED</t>
        </is>
      </c>
      <c r="AK160" t="inlineStr">
        <is>
          <t>Verified from supplied original-card scan: Groups/INWO - Gordo Remora.png. Triangle orientation establishes IN=TOP, OUT=RIGHT.</t>
        </is>
      </c>
    </row>
    <row r="161" ht="34" customHeight="1" s="16">
      <c r="A161" s="20" t="inlineStr">
        <is>
          <t>Hillary Clinton</t>
        </is>
      </c>
      <c r="B161" s="20" t="inlineStr">
        <is>
          <t>Group</t>
        </is>
      </c>
      <c r="C161" s="20" t="inlineStr">
        <is>
          <t>Personality</t>
        </is>
      </c>
      <c r="D161" s="20" t="inlineStr">
        <is>
          <t>Common</t>
        </is>
      </c>
      <c r="E161" s="20" t="inlineStr">
        <is>
          <t>2</t>
        </is>
      </c>
      <c r="F161" s="20" t="inlineStr">
        <is>
          <t>4</t>
        </is>
      </c>
      <c r="G161" s="20" t="inlineStr">
        <is>
          <t>Liberal</t>
        </is>
      </c>
      <c r="H161" s="20" t="str"/>
      <c r="I161" s="20" t="inlineStr">
        <is>
          <t>+2 to control Bill Clinton, Congressional Wives, or Democrats; +6 when taking direct control of them.</t>
        </is>
      </c>
      <c r="J161" s="20" t="inlineStr">
        <is>
          <t>Needs rules-engine encoding</t>
        </is>
      </c>
      <c r="K161" s="20" t="inlineStr">
        <is>
          <t>High</t>
        </is>
      </c>
      <c r="L161" s="20" t="inlineStr">
        <is>
          <t>Mechanics and outgoing-arrow count checked against the printed card; described in our own words. Exact physical edge placement tracked separately.</t>
        </is>
      </c>
      <c r="M161" s="20" t="inlineStr">
        <is>
          <t>https://www.scribd.com/document/851089808/TheINWOBook</t>
        </is>
      </c>
      <c r="N161" t="inlineStr">
        <is>
          <t>Passive or activated special ability</t>
        </is>
      </c>
      <c r="O161" t="inlineStr">
        <is>
          <t>Per card ability</t>
        </is>
      </c>
      <c r="Q161" t="inlineStr">
        <is>
          <t>While controlled / per effect</t>
        </is>
      </c>
      <c r="R161" t="inlineStr">
        <is>
          <t>+2 to control Bill Clinton, Congressional Wives, or Democrats; +6 when taking direct control of them.</t>
        </is>
      </c>
      <c r="S161" t="inlineStr">
        <is>
          <t>NO</t>
        </is>
      </c>
      <c r="T161" t="inlineStr">
        <is>
          <t>1 incoming control arrow</t>
        </is>
      </c>
      <c r="U161" t="n">
        <v>1</v>
      </c>
      <c r="V161" t="inlineStr">
        <is>
          <t>N/A — INWO uses Plots instead of group income/money</t>
        </is>
      </c>
      <c r="W161" t="inlineStr">
        <is>
          <t>Standard: 1 action token (Illuminati: 1 Illuminati action); verified mechanics state no override</t>
        </is>
      </c>
      <c r="X161" t="inlineStr">
        <is>
          <t>One copy in play at a time; spare copies act as hidden agents vs. a rival's copy; a destroyed Group cannot be replayed unless a card returns it (base rule)</t>
        </is>
      </c>
      <c r="Y161" t="inlineStr">
        <is>
          <t>None beyond base rules (verified mechanics state no override)</t>
        </is>
      </c>
      <c r="Z161" t="inlineStr">
        <is>
          <t>Standard response window (verified mechanics state no override)</t>
        </is>
      </c>
      <c r="AA161" t="inlineStr">
        <is>
          <t>Specific card overrides general rules</t>
        </is>
      </c>
      <c r="AB161" t="inlineStr">
        <is>
          <t>Indexed INWO Book, Groups section</t>
        </is>
      </c>
      <c r="AC161" t="inlineStr">
        <is>
          <t>FUNCTIONALLY COMPLETE</t>
        </is>
      </c>
      <c r="AE161" t="inlineStr">
        <is>
          <t>Indexed INWO Book / historical cross-check</t>
        </is>
      </c>
      <c r="AF161" t="inlineStr">
        <is>
          <t>EXACT EDGE POSITIONS VERIFIED</t>
        </is>
      </c>
      <c r="AG161" t="inlineStr">
        <is>
          <t>Verified from supplied original-card scan: Groups/INWO - Hillary Clinton.png. Triangle orientation establishes IN=TOP, OUT=RIGHT.</t>
        </is>
      </c>
      <c r="AH161" t="inlineStr">
        <is>
          <t>TOP</t>
        </is>
      </c>
      <c r="AI161" t="inlineStr">
        <is>
          <t>RIGHT</t>
        </is>
      </c>
      <c r="AJ161" t="inlineStr">
        <is>
          <t>VERIFIED</t>
        </is>
      </c>
      <c r="AK161" t="inlineStr">
        <is>
          <t>Verified from supplied original-card scan: Groups/INWO - Hillary Clinton.png. Triangle orientation establishes IN=TOP, OUT=RIGHT.</t>
        </is>
      </c>
    </row>
    <row r="162" ht="34" customHeight="1" s="16">
      <c r="A162" s="20" t="inlineStr">
        <is>
          <t>Imelda Marcos</t>
        </is>
      </c>
      <c r="B162" s="20" t="inlineStr">
        <is>
          <t>Group</t>
        </is>
      </c>
      <c r="C162" s="20" t="inlineStr">
        <is>
          <t>Personality</t>
        </is>
      </c>
      <c r="D162" s="20" t="inlineStr">
        <is>
          <t>Common</t>
        </is>
      </c>
      <c r="E162" s="20" t="inlineStr">
        <is>
          <t>1*</t>
        </is>
      </c>
      <c r="F162" s="20" t="inlineStr">
        <is>
          <t>1</t>
        </is>
      </c>
      <c r="G162" s="20" t="inlineStr">
        <is>
          <t>Criminal</t>
        </is>
      </c>
      <c r="H162" s="20" t="str"/>
      <c r="I162" s="20" t="inlineStr">
        <is>
          <t>When using her Power against Government or Bank targets, may roll a die: on 1-5 treat Power as 5; on 6 she is destroyed and counts for the target's owner.</t>
        </is>
      </c>
      <c r="J162" s="20" t="inlineStr">
        <is>
          <t>Needs rules-engine encoding</t>
        </is>
      </c>
      <c r="K162" s="20" t="inlineStr">
        <is>
          <t>High</t>
        </is>
      </c>
      <c r="L162" s="20" t="inlineStr">
        <is>
          <t>Mechanics and outgoing-arrow count checked against the printed card; described in our own words. Exact physical edge placement tracked separately.</t>
        </is>
      </c>
      <c r="M162" s="20" t="inlineStr">
        <is>
          <t>https://www.scribd.com/document/851089808/TheINWOBook</t>
        </is>
      </c>
      <c r="N162" t="inlineStr">
        <is>
          <t>Passive or activated special ability</t>
        </is>
      </c>
      <c r="O162" t="inlineStr">
        <is>
          <t>Per card ability</t>
        </is>
      </c>
      <c r="Q162" t="inlineStr">
        <is>
          <t>While controlled / per effect</t>
        </is>
      </c>
      <c r="R162" t="inlineStr">
        <is>
          <t>When using her Power against Government or Bank targets, may roll a die: on 1-5 treat Power as 5; on 6 she is destroyed and counts for the target's owner.</t>
        </is>
      </c>
      <c r="S162" t="inlineStr">
        <is>
          <t>NO</t>
        </is>
      </c>
      <c r="T162" t="inlineStr">
        <is>
          <t>1 incoming control arrow</t>
        </is>
      </c>
      <c r="U162" t="n">
        <v>1</v>
      </c>
      <c r="V162" t="inlineStr">
        <is>
          <t>N/A — INWO uses Plots instead of group income/money</t>
        </is>
      </c>
      <c r="W162" t="inlineStr">
        <is>
          <t>Standard: 1 action token (Illuminati: 1 Illuminati action); verified mechanics state no override</t>
        </is>
      </c>
      <c r="X162" t="inlineStr">
        <is>
          <t>One copy in play at a time; spare copies act as hidden agents vs. a rival's copy; a destroyed Group cannot be replayed unless a card returns it (base rule)</t>
        </is>
      </c>
      <c r="Y162" t="inlineStr">
        <is>
          <t>None beyond base rules (verified mechanics state no override)</t>
        </is>
      </c>
      <c r="Z162" t="inlineStr">
        <is>
          <t>Standard response window (verified mechanics state no override)</t>
        </is>
      </c>
      <c r="AA162" t="inlineStr">
        <is>
          <t>Specific card overrides general rules</t>
        </is>
      </c>
      <c r="AB162" t="inlineStr">
        <is>
          <t>Indexed INWO Book, Groups section</t>
        </is>
      </c>
      <c r="AC162" t="inlineStr">
        <is>
          <t>FUNCTIONALLY COMPLETE</t>
        </is>
      </c>
      <c r="AE162" t="inlineStr">
        <is>
          <t>Indexed INWO Book / historical cross-check</t>
        </is>
      </c>
      <c r="AF162" t="inlineStr">
        <is>
          <t>EXACT EDGE POSITIONS VERIFIED</t>
        </is>
      </c>
      <c r="AG162" t="inlineStr">
        <is>
          <t>Verified from supplied original-card scan: Groups/INWO - Imelda Marcos.png. Triangle orientation establishes IN=TOP, OUT=LEFT.</t>
        </is>
      </c>
      <c r="AH162" t="inlineStr">
        <is>
          <t>TOP</t>
        </is>
      </c>
      <c r="AI162" t="inlineStr">
        <is>
          <t>LEFT</t>
        </is>
      </c>
      <c r="AJ162" t="inlineStr">
        <is>
          <t>VERIFIED</t>
        </is>
      </c>
      <c r="AK162" t="inlineStr">
        <is>
          <t>Verified from supplied original-card scan: Groups/INWO - Imelda Marcos.png. Triangle orientation establishes IN=TOP, OUT=LEFT.</t>
        </is>
      </c>
    </row>
    <row r="163" ht="34" customHeight="1" s="16">
      <c r="A163" s="20" t="inlineStr">
        <is>
          <t>Jimmy Hoffa</t>
        </is>
      </c>
      <c r="B163" s="20" t="inlineStr">
        <is>
          <t>Group</t>
        </is>
      </c>
      <c r="C163" s="20" t="inlineStr">
        <is>
          <t>Personality</t>
        </is>
      </c>
      <c r="D163" s="20" t="inlineStr">
        <is>
          <t>Rare</t>
        </is>
      </c>
      <c r="E163" s="20" t="inlineStr">
        <is>
          <t>2</t>
        </is>
      </c>
      <c r="F163" s="20" t="inlineStr">
        <is>
          <t>3</t>
        </is>
      </c>
      <c r="G163" s="20" t="inlineStr">
        <is>
          <t>Criminal</t>
        </is>
      </c>
      <c r="H163" s="20" t="str"/>
      <c r="I163" s="20" t="inlineStr">
        <is>
          <t>As an action, cancel a Corporate group's action; +6 direct control of CFL-AIO.</t>
        </is>
      </c>
      <c r="J163" s="20" t="inlineStr">
        <is>
          <t>Needs rules-engine encoding</t>
        </is>
      </c>
      <c r="K163" s="20" t="inlineStr">
        <is>
          <t>High</t>
        </is>
      </c>
      <c r="L163" s="20" t="inlineStr">
        <is>
          <t>Mechanics and outgoing-arrow count checked against the printed card; described in our own words. Exact physical edge placement tracked separately.</t>
        </is>
      </c>
      <c r="M163" s="20" t="inlineStr">
        <is>
          <t>https://www.scribd.com/document/851089808/TheINWOBook</t>
        </is>
      </c>
      <c r="N163" t="inlineStr">
        <is>
          <t>Passive or activated special ability</t>
        </is>
      </c>
      <c r="O163" t="inlineStr">
        <is>
          <t>Per card ability</t>
        </is>
      </c>
      <c r="Q163" t="inlineStr">
        <is>
          <t>While controlled / per effect</t>
        </is>
      </c>
      <c r="R163" t="inlineStr">
        <is>
          <t>As an action, cancel a Corporate group's action; +6 direct control of CFL-AIO.</t>
        </is>
      </c>
      <c r="S163" t="inlineStr">
        <is>
          <t>NO</t>
        </is>
      </c>
      <c r="T163" t="inlineStr">
        <is>
          <t>1 incoming control arrow</t>
        </is>
      </c>
      <c r="U163" t="n">
        <v>1</v>
      </c>
      <c r="V163" t="inlineStr">
        <is>
          <t>N/A — INWO uses Plots instead of group income/money</t>
        </is>
      </c>
      <c r="W163" t="inlineStr">
        <is>
          <t>Standard: 1 action token (Illuminati: 1 Illuminati action); verified mechanics state no override</t>
        </is>
      </c>
      <c r="X163" t="inlineStr">
        <is>
          <t>One copy in play at a time; spare copies act as hidden agents vs. a rival's copy; a destroyed Group cannot be replayed unless a card returns it (base rule)</t>
        </is>
      </c>
      <c r="Y163" t="inlineStr">
        <is>
          <t>None beyond base rules (verified mechanics state no override)</t>
        </is>
      </c>
      <c r="Z163" t="inlineStr">
        <is>
          <t>Standard response window (verified mechanics state no override)</t>
        </is>
      </c>
      <c r="AA163" t="inlineStr">
        <is>
          <t>Specific card overrides general rules</t>
        </is>
      </c>
      <c r="AB163" t="inlineStr">
        <is>
          <t>Indexed INWO Book, Groups section</t>
        </is>
      </c>
      <c r="AC163" t="inlineStr">
        <is>
          <t>FUNCTIONALLY COMPLETE</t>
        </is>
      </c>
      <c r="AE163" t="inlineStr">
        <is>
          <t>Indexed INWO Book / historical cross-check</t>
        </is>
      </c>
      <c r="AF163" t="inlineStr">
        <is>
          <t>EXACT EDGE POSITIONS VERIFIED</t>
        </is>
      </c>
      <c r="AG163" t="inlineStr">
        <is>
          <t>Verified from supplied original-card scan: Groups/INWO - Jimmy Hoffa.png. Triangle orientation establishes IN=TOP, OUT=LEFT.</t>
        </is>
      </c>
      <c r="AH163" t="inlineStr">
        <is>
          <t>TOP</t>
        </is>
      </c>
      <c r="AI163" t="inlineStr">
        <is>
          <t>LEFT</t>
        </is>
      </c>
      <c r="AJ163" t="inlineStr">
        <is>
          <t>VERIFIED</t>
        </is>
      </c>
      <c r="AK163" t="inlineStr">
        <is>
          <t>Verified from supplied original-card scan: Groups/INWO - Jimmy Hoffa.png. Triangle orientation establishes IN=TOP, OUT=LEFT.</t>
        </is>
      </c>
    </row>
    <row r="164" ht="34" customHeight="1" s="16">
      <c r="A164" s="20" t="inlineStr">
        <is>
          <t>Manuel Noriega</t>
        </is>
      </c>
      <c r="B164" s="20" t="inlineStr">
        <is>
          <t>Group</t>
        </is>
      </c>
      <c r="C164" s="20" t="inlineStr">
        <is>
          <t>Personality</t>
        </is>
      </c>
      <c r="D164" s="20" t="inlineStr">
        <is>
          <t>Uncommon</t>
        </is>
      </c>
      <c r="E164" s="20" t="inlineStr">
        <is>
          <t>1</t>
        </is>
      </c>
      <c r="F164" s="20" t="inlineStr">
        <is>
          <t>2</t>
        </is>
      </c>
      <c r="G164" s="20" t="inlineStr">
        <is>
          <t>Violent, Criminal, Government</t>
        </is>
      </c>
      <c r="H164" s="20" t="str"/>
      <c r="I164" s="20" t="inlineStr">
        <is>
          <t>His master may borrow any of Noriega's alignments when making/aiding an attack; +6 on any control attempt against International Cocaine Smugglers.</t>
        </is>
      </c>
      <c r="J164" s="20" t="inlineStr">
        <is>
          <t>Needs rules-engine encoding</t>
        </is>
      </c>
      <c r="K164" s="20" t="inlineStr">
        <is>
          <t>High</t>
        </is>
      </c>
      <c r="L164" s="20" t="inlineStr">
        <is>
          <t>Mechanics and outgoing-arrow count checked against the printed card; described in our own words. Exact physical edge placement tracked separately.</t>
        </is>
      </c>
      <c r="M164" s="20" t="inlineStr">
        <is>
          <t>https://www.scribd.com/document/851089808/TheINWOBook</t>
        </is>
      </c>
      <c r="N164" t="inlineStr">
        <is>
          <t>Passive or activated special ability</t>
        </is>
      </c>
      <c r="O164" t="inlineStr">
        <is>
          <t>Per card ability</t>
        </is>
      </c>
      <c r="Q164" t="inlineStr">
        <is>
          <t>While controlled / per effect</t>
        </is>
      </c>
      <c r="R164" t="inlineStr">
        <is>
          <t>His master may borrow any of Noriega's alignments when making/aiding an attack; +6 on any control attempt against International Cocaine Smugglers.</t>
        </is>
      </c>
      <c r="S164" t="inlineStr">
        <is>
          <t>NO</t>
        </is>
      </c>
      <c r="T164" t="inlineStr">
        <is>
          <t>1 incoming control arrow</t>
        </is>
      </c>
      <c r="U164" t="n">
        <v>0</v>
      </c>
      <c r="V164" t="inlineStr">
        <is>
          <t>N/A — INWO uses Plots instead of group income/money</t>
        </is>
      </c>
      <c r="W164" t="inlineStr">
        <is>
          <t>Standard: 1 action token (Illuminati: 1 Illuminati action); verified mechanics state no override</t>
        </is>
      </c>
      <c r="X164" t="inlineStr">
        <is>
          <t>One copy in play at a time; spare copies act as hidden agents vs. a rival's copy; a destroyed Group cannot be replayed unless a card returns it (base rule)</t>
        </is>
      </c>
      <c r="Y164" t="inlineStr">
        <is>
          <t>None beyond base rules (verified mechanics state no override)</t>
        </is>
      </c>
      <c r="Z164" t="inlineStr">
        <is>
          <t>Standard response window (verified mechanics state no override)</t>
        </is>
      </c>
      <c r="AA164" t="inlineStr">
        <is>
          <t>Specific card overrides general rules</t>
        </is>
      </c>
      <c r="AB164" t="inlineStr">
        <is>
          <t>Indexed INWO Book, Groups section</t>
        </is>
      </c>
      <c r="AC164" t="inlineStr">
        <is>
          <t>FUNCTIONALLY COMPLETE</t>
        </is>
      </c>
      <c r="AE164" t="inlineStr">
        <is>
          <t>Indexed INWO Book / historical cross-check</t>
        </is>
      </c>
      <c r="AF164" t="inlineStr">
        <is>
          <t>EXACT EDGE POSITIONS VERIFIED</t>
        </is>
      </c>
      <c r="AG164" t="inlineStr">
        <is>
          <t>Verified from supplied original-card scan: Groups/INWO - Manuel Noriega.png. Triangle orientation establishes IN=TOP, OUT=NONE.</t>
        </is>
      </c>
      <c r="AH164" t="inlineStr">
        <is>
          <t>TOP</t>
        </is>
      </c>
      <c r="AI164" t="inlineStr">
        <is>
          <t>NONE</t>
        </is>
      </c>
      <c r="AJ164" t="inlineStr">
        <is>
          <t>VERIFIED</t>
        </is>
      </c>
      <c r="AK164" t="inlineStr">
        <is>
          <t>Verified from supplied original-card scan: Groups/INWO - Manuel Noriega.png. Triangle orientation establishes IN=TOP, OUT=NONE.</t>
        </is>
      </c>
    </row>
    <row r="165" ht="34" customHeight="1" s="16">
      <c r="A165" s="20" t="inlineStr">
        <is>
          <t>Margaret Thatcher</t>
        </is>
      </c>
      <c r="B165" s="20" t="inlineStr">
        <is>
          <t>Group</t>
        </is>
      </c>
      <c r="C165" s="20" t="inlineStr">
        <is>
          <t>Personality</t>
        </is>
      </c>
      <c r="D165" s="20" t="inlineStr">
        <is>
          <t>Uncommon</t>
        </is>
      </c>
      <c r="E165" s="20" t="inlineStr">
        <is>
          <t>1</t>
        </is>
      </c>
      <c r="F165" s="20" t="inlineStr">
        <is>
          <t>6</t>
        </is>
      </c>
      <c r="G165" s="20" t="inlineStr">
        <is>
          <t>Straight, Conservative, Government</t>
        </is>
      </c>
      <c r="H165" s="20" t="str"/>
      <c r="I165" s="20" t="inlineStr">
        <is>
          <t>+10 on any control attempt against England.</t>
        </is>
      </c>
      <c r="J165" s="20" t="inlineStr">
        <is>
          <t>Needs rules-engine encoding</t>
        </is>
      </c>
      <c r="K165" s="20" t="inlineStr">
        <is>
          <t>High</t>
        </is>
      </c>
      <c r="L165" s="20" t="inlineStr">
        <is>
          <t>Mechanics and outgoing-arrow count checked against the printed card; described in our own words. Exact physical edge placement tracked separately.</t>
        </is>
      </c>
      <c r="M165" s="20" t="inlineStr">
        <is>
          <t>https://www.scribd.com/document/851089808/TheINWOBook</t>
        </is>
      </c>
      <c r="N165" t="inlineStr">
        <is>
          <t>Passive or activated special ability</t>
        </is>
      </c>
      <c r="O165" t="inlineStr">
        <is>
          <t>Per card ability</t>
        </is>
      </c>
      <c r="Q165" t="inlineStr">
        <is>
          <t>While controlled / per effect</t>
        </is>
      </c>
      <c r="R165" t="inlineStr">
        <is>
          <t>+10 on any control attempt against England.</t>
        </is>
      </c>
      <c r="S165" t="inlineStr">
        <is>
          <t>NO</t>
        </is>
      </c>
      <c r="T165" t="inlineStr">
        <is>
          <t>1 incoming control arrow</t>
        </is>
      </c>
      <c r="U165" t="n">
        <v>1</v>
      </c>
      <c r="V165" t="inlineStr">
        <is>
          <t>N/A — INWO uses Plots instead of group income/money</t>
        </is>
      </c>
      <c r="W165" t="inlineStr">
        <is>
          <t>Standard: 1 action token (Illuminati: 1 Illuminati action); verified mechanics state no override</t>
        </is>
      </c>
      <c r="X165" t="inlineStr">
        <is>
          <t>One copy in play at a time; spare copies act as hidden agents vs. a rival's copy; a destroyed Group cannot be replayed unless a card returns it (base rule)</t>
        </is>
      </c>
      <c r="Y165" t="inlineStr">
        <is>
          <t>None beyond base rules (verified mechanics state no override)</t>
        </is>
      </c>
      <c r="Z165" t="inlineStr">
        <is>
          <t>Standard response window (verified mechanics state no override)</t>
        </is>
      </c>
      <c r="AA165" t="inlineStr">
        <is>
          <t>Specific card overrides general rules</t>
        </is>
      </c>
      <c r="AB165" t="inlineStr">
        <is>
          <t>Indexed INWO Book, Groups section</t>
        </is>
      </c>
      <c r="AC165" t="inlineStr">
        <is>
          <t>FUNCTIONALLY COMPLETE</t>
        </is>
      </c>
      <c r="AE165" t="inlineStr">
        <is>
          <t>Indexed INWO Book / historical cross-check</t>
        </is>
      </c>
      <c r="AF165" t="inlineStr">
        <is>
          <t>EXACT EDGE POSITIONS VERIFIED</t>
        </is>
      </c>
      <c r="AG165" t="inlineStr">
        <is>
          <t>Verified from supplied original-card scan: Groups/INWO - Margaret Thatcher.png. Triangle orientation establishes IN=TOP, OUT=RIGHT.</t>
        </is>
      </c>
      <c r="AH165" t="inlineStr">
        <is>
          <t>TOP</t>
        </is>
      </c>
      <c r="AI165" t="inlineStr">
        <is>
          <t>RIGHT</t>
        </is>
      </c>
      <c r="AJ165" t="inlineStr">
        <is>
          <t>VERIFIED</t>
        </is>
      </c>
      <c r="AK165" t="inlineStr">
        <is>
          <t>Verified from supplied original-card scan: Groups/INWO - Margaret Thatcher.png. Triangle orientation establishes IN=TOP, OUT=RIGHT.</t>
        </is>
      </c>
    </row>
    <row r="166" ht="34" customHeight="1" s="16">
      <c r="A166" s="20" t="inlineStr">
        <is>
          <t>Media Sensation</t>
        </is>
      </c>
      <c r="B166" s="20" t="inlineStr">
        <is>
          <t>Group</t>
        </is>
      </c>
      <c r="C166" s="20" t="inlineStr">
        <is>
          <t>Personality</t>
        </is>
      </c>
      <c r="D166" s="20" t="inlineStr">
        <is>
          <t>Common</t>
        </is>
      </c>
      <c r="E166" s="20" t="inlineStr">
        <is>
          <t>1</t>
        </is>
      </c>
      <c r="F166" s="20" t="inlineStr">
        <is>
          <t>1</t>
        </is>
      </c>
      <c r="G166" s="20" t="inlineStr">
        <is>
          <t>None</t>
        </is>
      </c>
      <c r="H166" s="20" t="inlineStr">
        <is>
          <t>Media</t>
        </is>
      </c>
      <c r="I166" s="20" t="inlineStr">
        <is>
          <t>Multiple copies are legal if each has a unique Personality name; destroying one does not count toward Goals.</t>
        </is>
      </c>
      <c r="J166" s="20" t="inlineStr">
        <is>
          <t>Needs rules-engine encoding</t>
        </is>
      </c>
      <c r="K166" s="20" t="inlineStr">
        <is>
          <t>High</t>
        </is>
      </c>
      <c r="L166" s="20" t="inlineStr">
        <is>
          <t>Mechanics and outgoing-arrow count checked against the printed card; described in our own words. Exact physical edge placement tracked separately.</t>
        </is>
      </c>
      <c r="M166" s="20" t="inlineStr">
        <is>
          <t>https://www.scribd.com/document/851089808/TheINWOBook</t>
        </is>
      </c>
      <c r="N166" t="inlineStr">
        <is>
          <t>Passive or activated special ability</t>
        </is>
      </c>
      <c r="O166" t="inlineStr">
        <is>
          <t>Per card ability</t>
        </is>
      </c>
      <c r="Q166" t="inlineStr">
        <is>
          <t>While controlled / per effect</t>
        </is>
      </c>
      <c r="R166" t="inlineStr">
        <is>
          <t>Multiple copies are legal if each has a unique Personality name; destroying one does not count toward Goals.</t>
        </is>
      </c>
      <c r="S166" t="inlineStr">
        <is>
          <t>NO</t>
        </is>
      </c>
      <c r="T166" t="inlineStr">
        <is>
          <t>1 incoming control arrow</t>
        </is>
      </c>
      <c r="U166" t="n">
        <v>0</v>
      </c>
      <c r="V166" t="inlineStr">
        <is>
          <t>N/A — INWO uses Plots instead of group income/money</t>
        </is>
      </c>
      <c r="W166" t="inlineStr">
        <is>
          <t>Standard: 1 action token (Illuminati: 1 Illuminati action); verified mechanics state no override</t>
        </is>
      </c>
      <c r="X166" t="inlineStr">
        <is>
          <t>Any number may be in play at once, each with a different Personality name; a destroyed one cannot be replayed unless a card returns it (base rule)</t>
        </is>
      </c>
      <c r="Y166" t="inlineStr">
        <is>
          <t>None beyond base rules (verified mechanics state no override)</t>
        </is>
      </c>
      <c r="Z166" t="inlineStr">
        <is>
          <t>Standard response window (verified mechanics state no override)</t>
        </is>
      </c>
      <c r="AA166" t="inlineStr">
        <is>
          <t>Specific card overrides general rules</t>
        </is>
      </c>
      <c r="AB166" t="inlineStr">
        <is>
          <t>Indexed INWO Book, Groups section</t>
        </is>
      </c>
      <c r="AC166" t="inlineStr">
        <is>
          <t>FUNCTIONALLY COMPLETE</t>
        </is>
      </c>
      <c r="AE166" t="inlineStr">
        <is>
          <t>Indexed INWO Book / historical cross-check</t>
        </is>
      </c>
      <c r="AF166" t="inlineStr">
        <is>
          <t>EXACT EDGE POSITIONS VERIFIED</t>
        </is>
      </c>
      <c r="AG166" t="inlineStr">
        <is>
          <t>Verified from supplied original-card scan: Groups/INWO - Media Sensation.png. Triangle orientation establishes IN=TOP, OUT=NONE.</t>
        </is>
      </c>
      <c r="AH166" t="inlineStr">
        <is>
          <t>TOP</t>
        </is>
      </c>
      <c r="AI166" t="inlineStr">
        <is>
          <t>NONE</t>
        </is>
      </c>
      <c r="AJ166" t="inlineStr">
        <is>
          <t>VERIFIED</t>
        </is>
      </c>
      <c r="AK166" t="inlineStr">
        <is>
          <t>Verified from supplied original-card scan: Groups/INWO - Media Sensation.png. Triangle orientation establishes IN=TOP, OUT=NONE.</t>
        </is>
      </c>
    </row>
    <row r="167" ht="34" customHeight="1" s="16">
      <c r="A167" s="20" t="inlineStr">
        <is>
          <t>Nancy Reagan</t>
        </is>
      </c>
      <c r="B167" s="20" t="inlineStr">
        <is>
          <t>Group</t>
        </is>
      </c>
      <c r="C167" s="20" t="inlineStr">
        <is>
          <t>Personality</t>
        </is>
      </c>
      <c r="D167" s="20" t="inlineStr">
        <is>
          <t>Rare</t>
        </is>
      </c>
      <c r="E167" s="20" t="inlineStr">
        <is>
          <t>2</t>
        </is>
      </c>
      <c r="F167" s="20" t="inlineStr">
        <is>
          <t>6</t>
        </is>
      </c>
      <c r="G167" s="20" t="inlineStr">
        <is>
          <t>Straight, Conservative</t>
        </is>
      </c>
      <c r="H167" s="20" t="inlineStr">
        <is>
          <t>Media</t>
        </is>
      </c>
      <c r="I167" s="20" t="inlineStr">
        <is>
          <t>+10 direct control of Ronald Reagan.</t>
        </is>
      </c>
      <c r="J167" s="20" t="inlineStr">
        <is>
          <t>Needs rules-engine encoding</t>
        </is>
      </c>
      <c r="K167" s="20" t="inlineStr">
        <is>
          <t>High</t>
        </is>
      </c>
      <c r="L167" s="20" t="inlineStr">
        <is>
          <t>Mechanics and outgoing-arrow count checked against the printed card; described in our own words. Exact physical edge placement tracked separately.</t>
        </is>
      </c>
      <c r="M167" s="20" t="inlineStr">
        <is>
          <t>https://www.scribd.com/document/851089808/TheINWOBook</t>
        </is>
      </c>
      <c r="N167" t="inlineStr">
        <is>
          <t>Passive or activated special ability</t>
        </is>
      </c>
      <c r="O167" t="inlineStr">
        <is>
          <t>Per card ability</t>
        </is>
      </c>
      <c r="Q167" t="inlineStr">
        <is>
          <t>While controlled / per effect</t>
        </is>
      </c>
      <c r="R167" t="inlineStr">
        <is>
          <t>+10 direct control of Ronald Reagan.</t>
        </is>
      </c>
      <c r="S167" t="inlineStr">
        <is>
          <t>NO</t>
        </is>
      </c>
      <c r="T167" t="inlineStr">
        <is>
          <t>1 incoming control arrow</t>
        </is>
      </c>
      <c r="U167" t="n">
        <v>1</v>
      </c>
      <c r="V167" t="inlineStr">
        <is>
          <t>N/A — INWO uses Plots instead of group income/money</t>
        </is>
      </c>
      <c r="W167" t="inlineStr">
        <is>
          <t>Standard: 1 action token (Illuminati: 1 Illuminati action); verified mechanics state no override</t>
        </is>
      </c>
      <c r="X167" t="inlineStr">
        <is>
          <t>One copy in play at a time; spare copies act as hidden agents vs. a rival's copy; a destroyed Group cannot be replayed unless a card returns it (base rule)</t>
        </is>
      </c>
      <c r="Y167" t="inlineStr">
        <is>
          <t>None beyond base rules (verified mechanics state no override)</t>
        </is>
      </c>
      <c r="Z167" t="inlineStr">
        <is>
          <t>Standard response window (verified mechanics state no override)</t>
        </is>
      </c>
      <c r="AA167" t="inlineStr">
        <is>
          <t>Specific card overrides general rules</t>
        </is>
      </c>
      <c r="AB167" t="inlineStr">
        <is>
          <t>Indexed INWO Book, Groups section</t>
        </is>
      </c>
      <c r="AC167" t="inlineStr">
        <is>
          <t>FUNCTIONALLY COMPLETE</t>
        </is>
      </c>
      <c r="AE167" t="inlineStr">
        <is>
          <t>Indexed INWO Book / historical cross-check</t>
        </is>
      </c>
      <c r="AF167" t="inlineStr">
        <is>
          <t>EXACT EDGE POSITIONS VERIFIED</t>
        </is>
      </c>
      <c r="AG167" t="inlineStr">
        <is>
          <t>Verified from supplied original-card scan: Groups/INWO - Nancy Reagan.png. Triangle orientation establishes IN=TOP, OUT=RIGHT.</t>
        </is>
      </c>
      <c r="AH167" t="inlineStr">
        <is>
          <t>TOP</t>
        </is>
      </c>
      <c r="AI167" t="inlineStr">
        <is>
          <t>RIGHT</t>
        </is>
      </c>
      <c r="AJ167" t="inlineStr">
        <is>
          <t>VERIFIED</t>
        </is>
      </c>
      <c r="AK167" t="inlineStr">
        <is>
          <t>Verified from supplied original-card scan: Groups/INWO - Nancy Reagan.png. Triangle orientation establishes IN=TOP, OUT=RIGHT.</t>
        </is>
      </c>
    </row>
    <row r="168" ht="34" customHeight="1" s="16">
      <c r="A168" s="20" t="inlineStr">
        <is>
          <t>Ollie North</t>
        </is>
      </c>
      <c r="B168" s="20" t="inlineStr">
        <is>
          <t>Group</t>
        </is>
      </c>
      <c r="C168" s="20" t="inlineStr">
        <is>
          <t>Personality</t>
        </is>
      </c>
      <c r="D168" s="20" t="inlineStr">
        <is>
          <t>Uncommon</t>
        </is>
      </c>
      <c r="E168" s="20" t="inlineStr">
        <is>
          <t>1</t>
        </is>
      </c>
      <c r="F168" s="20" t="inlineStr">
        <is>
          <t>2</t>
        </is>
      </c>
      <c r="G168" s="20" t="inlineStr">
        <is>
          <t>Conservative, Criminal</t>
        </is>
      </c>
      <c r="H168" s="20" t="str"/>
      <c r="I168" s="20" t="inlineStr">
        <is>
          <t>+8 direct control of Conservative Media groups.</t>
        </is>
      </c>
      <c r="J168" s="20" t="inlineStr">
        <is>
          <t>Needs rules-engine encoding</t>
        </is>
      </c>
      <c r="K168" s="20" t="inlineStr">
        <is>
          <t>High</t>
        </is>
      </c>
      <c r="L168" s="20" t="inlineStr">
        <is>
          <t>Mechanics and outgoing-arrow count checked against the printed card; described in our own words. Exact physical edge placement tracked separately.</t>
        </is>
      </c>
      <c r="M168" s="20" t="inlineStr">
        <is>
          <t>https://www.scribd.com/document/851089808/TheINWOBook</t>
        </is>
      </c>
      <c r="N168" t="inlineStr">
        <is>
          <t>Passive or activated special ability</t>
        </is>
      </c>
      <c r="O168" t="inlineStr">
        <is>
          <t>Per card ability</t>
        </is>
      </c>
      <c r="Q168" t="inlineStr">
        <is>
          <t>While controlled / per effect</t>
        </is>
      </c>
      <c r="R168" t="inlineStr">
        <is>
          <t>+8 direct control of Conservative Media groups.</t>
        </is>
      </c>
      <c r="S168" t="inlineStr">
        <is>
          <t>NO</t>
        </is>
      </c>
      <c r="T168" t="inlineStr">
        <is>
          <t>1 incoming control arrow</t>
        </is>
      </c>
      <c r="U168" t="n">
        <v>1</v>
      </c>
      <c r="V168" t="inlineStr">
        <is>
          <t>N/A — INWO uses Plots instead of group income/money</t>
        </is>
      </c>
      <c r="W168" t="inlineStr">
        <is>
          <t>Standard: 1 action token (Illuminati: 1 Illuminati action); verified mechanics state no override</t>
        </is>
      </c>
      <c r="X168" t="inlineStr">
        <is>
          <t>One copy in play at a time; spare copies act as hidden agents vs. a rival's copy; a destroyed Group cannot be replayed unless a card returns it (base rule)</t>
        </is>
      </c>
      <c r="Y168" t="inlineStr">
        <is>
          <t>None beyond base rules (verified mechanics state no override)</t>
        </is>
      </c>
      <c r="Z168" t="inlineStr">
        <is>
          <t>Standard response window (verified mechanics state no override)</t>
        </is>
      </c>
      <c r="AA168" t="inlineStr">
        <is>
          <t>Specific card overrides general rules</t>
        </is>
      </c>
      <c r="AB168" t="inlineStr">
        <is>
          <t>Indexed INWO Book, Groups section</t>
        </is>
      </c>
      <c r="AC168" t="inlineStr">
        <is>
          <t>FUNCTIONALLY COMPLETE</t>
        </is>
      </c>
      <c r="AE168" t="inlineStr">
        <is>
          <t>Indexed INWO Book / historical cross-check</t>
        </is>
      </c>
      <c r="AF168" t="inlineStr">
        <is>
          <t>EXACT EDGE POSITIONS VERIFIED</t>
        </is>
      </c>
      <c r="AG168" t="inlineStr">
        <is>
          <t>Verified from supplied original-card scan: Groups/INWO - Ollie North.png. Triangle orientation establishes IN=TOP, OUT=LEFT.</t>
        </is>
      </c>
      <c r="AH168" t="inlineStr">
        <is>
          <t>TOP</t>
        </is>
      </c>
      <c r="AI168" t="inlineStr">
        <is>
          <t>LEFT</t>
        </is>
      </c>
      <c r="AJ168" t="inlineStr">
        <is>
          <t>VERIFIED</t>
        </is>
      </c>
      <c r="AK168" t="inlineStr">
        <is>
          <t>Verified from supplied original-card scan: Groups/INWO - Ollie North.png. Triangle orientation establishes IN=TOP, OUT=LEFT.</t>
        </is>
      </c>
    </row>
    <row r="169" ht="34" customHeight="1" s="16">
      <c r="A169" s="20" t="inlineStr">
        <is>
          <t>Prince Charles</t>
        </is>
      </c>
      <c r="B169" s="20" t="inlineStr">
        <is>
          <t>Group</t>
        </is>
      </c>
      <c r="C169" s="20" t="inlineStr">
        <is>
          <t>Personality</t>
        </is>
      </c>
      <c r="D169" s="20" t="inlineStr">
        <is>
          <t>Uncommon</t>
        </is>
      </c>
      <c r="E169" s="20" t="inlineStr">
        <is>
          <t>2</t>
        </is>
      </c>
      <c r="F169" s="20" t="inlineStr">
        <is>
          <t>5</t>
        </is>
      </c>
      <c r="G169" s="20" t="inlineStr">
        <is>
          <t>Conservative</t>
        </is>
      </c>
      <c r="H169" s="20" t="inlineStr">
        <is>
          <t>Green</t>
        </is>
      </c>
      <c r="I169" s="20" t="inlineStr">
        <is>
          <t>He, his master, and his puppets are immune to privileged attacks; any group may aid his defense regardless of alignment; Media has doubled Power when attacking him.</t>
        </is>
      </c>
      <c r="J169" s="20" t="inlineStr">
        <is>
          <t>Needs rules-engine encoding</t>
        </is>
      </c>
      <c r="K169" s="20" t="inlineStr">
        <is>
          <t>High</t>
        </is>
      </c>
      <c r="L169" s="20" t="inlineStr">
        <is>
          <t>Mechanics and outgoing-arrow count checked against the printed card; described in our own words. Exact physical edge placement tracked separately.</t>
        </is>
      </c>
      <c r="M169" s="20" t="inlineStr">
        <is>
          <t>https://www.scribd.com/document/851089808/TheINWOBook</t>
        </is>
      </c>
      <c r="N169" t="inlineStr">
        <is>
          <t>Passive or activated special ability</t>
        </is>
      </c>
      <c r="O169" t="inlineStr">
        <is>
          <t>Per card ability</t>
        </is>
      </c>
      <c r="Q169" t="inlineStr">
        <is>
          <t>While controlled / per effect</t>
        </is>
      </c>
      <c r="R169" t="inlineStr">
        <is>
          <t>He, his master, and his puppets are immune to privileged attacks; any group may aid his defense regardless of alignment; Media has doubled Power when attacking him.</t>
        </is>
      </c>
      <c r="S169" t="inlineStr">
        <is>
          <t>NO</t>
        </is>
      </c>
      <c r="T169" t="inlineStr">
        <is>
          <t>1 incoming control arrow</t>
        </is>
      </c>
      <c r="U169" t="n">
        <v>1</v>
      </c>
      <c r="V169" t="inlineStr">
        <is>
          <t>N/A — INWO uses Plots instead of group income/money</t>
        </is>
      </c>
      <c r="W169" t="inlineStr">
        <is>
          <t>Standard: 1 action token (Illuminati: 1 Illuminati action); verified mechanics state no override</t>
        </is>
      </c>
      <c r="X169" t="inlineStr">
        <is>
          <t>One copy in play at a time; spare copies act as hidden agents vs. a rival's copy; a destroyed Group cannot be replayed unless a card returns it (base rule)</t>
        </is>
      </c>
      <c r="Y169" t="inlineStr">
        <is>
          <t>None beyond base rules (verified mechanics state no override)</t>
        </is>
      </c>
      <c r="Z169" t="inlineStr">
        <is>
          <t>Standard response window (verified mechanics state no override)</t>
        </is>
      </c>
      <c r="AA169" t="inlineStr">
        <is>
          <t>Specific card overrides general rules</t>
        </is>
      </c>
      <c r="AB169" t="inlineStr">
        <is>
          <t>Indexed INWO Book, Groups section</t>
        </is>
      </c>
      <c r="AC169" t="inlineStr">
        <is>
          <t>FUNCTIONALLY COMPLETE</t>
        </is>
      </c>
      <c r="AE169" t="inlineStr">
        <is>
          <t>Indexed INWO Book / historical cross-check</t>
        </is>
      </c>
      <c r="AF169" t="inlineStr">
        <is>
          <t>EXACT EDGE POSITIONS VERIFIED</t>
        </is>
      </c>
      <c r="AG169" t="inlineStr">
        <is>
          <t>Verified from supplied original-card scan: Groups/INWO - Prince Charles.png. Triangle orientation establishes IN=TOP, OUT=BOTTOM.</t>
        </is>
      </c>
      <c r="AH169" t="inlineStr">
        <is>
          <t>TOP</t>
        </is>
      </c>
      <c r="AI169" t="inlineStr">
        <is>
          <t>BOTTOM</t>
        </is>
      </c>
      <c r="AJ169" t="inlineStr">
        <is>
          <t>VERIFIED</t>
        </is>
      </c>
      <c r="AK169" t="inlineStr">
        <is>
          <t>Verified from supplied original-card scan: Groups/INWO - Prince Charles.png. Triangle orientation establishes IN=TOP, OUT=BOTTOM.</t>
        </is>
      </c>
    </row>
    <row r="170" ht="34" customHeight="1" s="16">
      <c r="A170" s="20" t="inlineStr">
        <is>
          <t>Princess Di</t>
        </is>
      </c>
      <c r="B170" s="20" t="inlineStr">
        <is>
          <t>Group</t>
        </is>
      </c>
      <c r="C170" s="20" t="inlineStr">
        <is>
          <t>Personality</t>
        </is>
      </c>
      <c r="D170" s="20" t="inlineStr">
        <is>
          <t>Uncommon</t>
        </is>
      </c>
      <c r="E170" s="20" t="inlineStr">
        <is>
          <t>2</t>
        </is>
      </c>
      <c r="F170" s="20" t="inlineStr">
        <is>
          <t>5</t>
        </is>
      </c>
      <c r="G170" s="20" t="inlineStr">
        <is>
          <t>Straight, Peaceful, Liberal</t>
        </is>
      </c>
      <c r="H170" s="20" t="str"/>
      <c r="I170" s="20" t="inlineStr">
        <is>
          <t>+1 Power to each of your other Liberal groups. Rival Peaceful or Liberal groups, Media groups excepted, cannot attack her or her puppets.</t>
        </is>
      </c>
      <c r="J170" s="20" t="inlineStr">
        <is>
          <t>Needs rules-engine encoding</t>
        </is>
      </c>
      <c r="K170" s="20" t="inlineStr">
        <is>
          <t>High</t>
        </is>
      </c>
      <c r="L170" s="20" t="inlineStr">
        <is>
          <t>Mechanics and outgoing-arrow count checked against the printed card; described in our own words. Exact physical edge placement tracked separately.</t>
        </is>
      </c>
      <c r="M170" s="20" t="inlineStr">
        <is>
          <t>https://www.scribd.com/document/851089808/TheINWOBook</t>
        </is>
      </c>
      <c r="N170" t="inlineStr">
        <is>
          <t>Passive or activated special ability</t>
        </is>
      </c>
      <c r="O170" t="inlineStr">
        <is>
          <t>Per card ability</t>
        </is>
      </c>
      <c r="Q170" t="inlineStr">
        <is>
          <t>While controlled / per effect</t>
        </is>
      </c>
      <c r="R170" t="inlineStr">
        <is>
          <t>+1 Power to each of your other Liberal groups. Rival Peaceful or Liberal groups, Media groups excepted, cannot attack her or her puppets.</t>
        </is>
      </c>
      <c r="S170" t="inlineStr">
        <is>
          <t>NO</t>
        </is>
      </c>
      <c r="T170" t="inlineStr">
        <is>
          <t>1 incoming control arrow</t>
        </is>
      </c>
      <c r="U170" t="n">
        <v>1</v>
      </c>
      <c r="V170" t="inlineStr">
        <is>
          <t>N/A — INWO uses Plots instead of group income/money</t>
        </is>
      </c>
      <c r="W170" t="inlineStr">
        <is>
          <t>Standard: 1 action token (Illuminati: 1 Illuminati action); verified mechanics state no override</t>
        </is>
      </c>
      <c r="X170" t="inlineStr">
        <is>
          <t>One copy in play at a time; spare copies act as hidden agents vs. a rival's copy; a destroyed Group cannot be replayed unless a card returns it (base rule)</t>
        </is>
      </c>
      <c r="Y170" t="inlineStr">
        <is>
          <t>None beyond base rules (verified mechanics state no override)</t>
        </is>
      </c>
      <c r="Z170" t="inlineStr">
        <is>
          <t>Standard response window (verified mechanics state no override)</t>
        </is>
      </c>
      <c r="AA170" t="inlineStr">
        <is>
          <t>Specific card overrides general rules</t>
        </is>
      </c>
      <c r="AB170" t="inlineStr">
        <is>
          <t>Indexed INWO Book, Groups section</t>
        </is>
      </c>
      <c r="AC170" t="inlineStr">
        <is>
          <t>FUNCTIONALLY COMPLETE</t>
        </is>
      </c>
      <c r="AE170" t="inlineStr">
        <is>
          <t>Indexed INWO Book / historical cross-check</t>
        </is>
      </c>
      <c r="AF170" t="inlineStr">
        <is>
          <t>EXACT EDGE POSITIONS VERIFIED</t>
        </is>
      </c>
      <c r="AG170" t="inlineStr">
        <is>
          <t>Verified from supplied original-card scan: Groups/INWO - Princess Di.png. Triangle orientation establishes IN=TOP, OUT=LEFT.</t>
        </is>
      </c>
      <c r="AH170" t="inlineStr">
        <is>
          <t>TOP</t>
        </is>
      </c>
      <c r="AI170" t="inlineStr">
        <is>
          <t>LEFT</t>
        </is>
      </c>
      <c r="AJ170" t="inlineStr">
        <is>
          <t>VERIFIED</t>
        </is>
      </c>
      <c r="AK170" t="inlineStr">
        <is>
          <t>Verified from supplied original-card scan: Groups/INWO - Princess Di.png. Triangle orientation establishes IN=TOP, OUT=LEFT.</t>
        </is>
      </c>
    </row>
    <row r="171" ht="34" customHeight="1" s="16">
      <c r="A171" s="20" t="inlineStr">
        <is>
          <t>Ronald Reagan</t>
        </is>
      </c>
      <c r="B171" s="20" t="inlineStr">
        <is>
          <t>Group</t>
        </is>
      </c>
      <c r="C171" s="20" t="inlineStr">
        <is>
          <t>Personality</t>
        </is>
      </c>
      <c r="D171" s="20" t="inlineStr">
        <is>
          <t>Common</t>
        </is>
      </c>
      <c r="E171" s="20" t="inlineStr">
        <is>
          <t>2</t>
        </is>
      </c>
      <c r="F171" s="20" t="inlineStr">
        <is>
          <t>1</t>
        </is>
      </c>
      <c r="G171" s="20" t="inlineStr">
        <is>
          <t>Straight, Conservative</t>
        </is>
      </c>
      <c r="H171" s="20" t="inlineStr">
        <is>
          <t>Media</t>
        </is>
      </c>
      <c r="I171" s="20" t="inlineStr">
        <is>
          <t>Immune to attacks made or aided by Media groups; after he makes/aids an attack, Media cannot later join the opposite side.</t>
        </is>
      </c>
      <c r="J171" s="20" t="inlineStr">
        <is>
          <t>Needs rules-engine encoding</t>
        </is>
      </c>
      <c r="K171" s="20" t="inlineStr">
        <is>
          <t>High</t>
        </is>
      </c>
      <c r="L171" s="20" t="inlineStr">
        <is>
          <t>Mechanics and outgoing-arrow count checked against the printed card; described in our own words. Exact physical edge placement tracked separately.</t>
        </is>
      </c>
      <c r="M171" s="20" t="inlineStr">
        <is>
          <t>https://www.scribd.com/document/851089808/TheINWOBook</t>
        </is>
      </c>
      <c r="N171" t="inlineStr">
        <is>
          <t>Passive or activated special ability</t>
        </is>
      </c>
      <c r="O171" t="inlineStr">
        <is>
          <t>Per card ability</t>
        </is>
      </c>
      <c r="Q171" t="inlineStr">
        <is>
          <t>While controlled / per effect</t>
        </is>
      </c>
      <c r="R171" t="inlineStr">
        <is>
          <t>Immune to attacks made or aided by Media groups; after he makes/aids an attack, Media cannot later join the opposite side.</t>
        </is>
      </c>
      <c r="S171" t="inlineStr">
        <is>
          <t>NO</t>
        </is>
      </c>
      <c r="T171" t="inlineStr">
        <is>
          <t>1 incoming control arrow</t>
        </is>
      </c>
      <c r="U171" t="n">
        <v>1</v>
      </c>
      <c r="V171" t="inlineStr">
        <is>
          <t>N/A — INWO uses Plots instead of group income/money</t>
        </is>
      </c>
      <c r="W171" t="inlineStr">
        <is>
          <t>Standard: 1 action token (Illuminati: 1 Illuminati action); verified mechanics state no override</t>
        </is>
      </c>
      <c r="X171" t="inlineStr">
        <is>
          <t>One copy in play at a time; spare copies act as hidden agents vs. a rival's copy; a destroyed Group cannot be replayed unless a card returns it (base rule)</t>
        </is>
      </c>
      <c r="Y171" t="inlineStr">
        <is>
          <t>None beyond base rules (verified mechanics state no override)</t>
        </is>
      </c>
      <c r="Z171" t="inlineStr">
        <is>
          <t>Standard response window (verified mechanics state no override)</t>
        </is>
      </c>
      <c r="AA171" t="inlineStr">
        <is>
          <t>Specific card overrides general rules</t>
        </is>
      </c>
      <c r="AB171" t="inlineStr">
        <is>
          <t>Indexed INWO Book, Groups section</t>
        </is>
      </c>
      <c r="AC171" t="inlineStr">
        <is>
          <t>FUNCTIONALLY COMPLETE</t>
        </is>
      </c>
      <c r="AE171" t="inlineStr">
        <is>
          <t>Indexed INWO Book / historical cross-check</t>
        </is>
      </c>
      <c r="AF171" t="inlineStr">
        <is>
          <t>EXACT EDGE POSITIONS VERIFIED</t>
        </is>
      </c>
      <c r="AG171" t="inlineStr">
        <is>
          <t>Verified from supplied original-card scan: Groups/INWO - Ronald Reagan.png. Triangle orientation establishes IN=BOTTOM, OUT=TOP.</t>
        </is>
      </c>
      <c r="AH171" t="inlineStr">
        <is>
          <t>BOTTOM</t>
        </is>
      </c>
      <c r="AI171" t="inlineStr">
        <is>
          <t>TOP</t>
        </is>
      </c>
      <c r="AJ171" t="inlineStr">
        <is>
          <t>VERIFIED</t>
        </is>
      </c>
      <c r="AK171" t="inlineStr">
        <is>
          <t>Verified from supplied original-card scan: Groups/INWO - Ronald Reagan.png. Triangle orientation establishes IN=BOTTOM, OUT=TOP.</t>
        </is>
      </c>
    </row>
    <row r="172" ht="34" customHeight="1" s="16">
      <c r="A172" s="20" t="inlineStr">
        <is>
          <t>Ross Perot</t>
        </is>
      </c>
      <c r="B172" s="20" t="inlineStr">
        <is>
          <t>Group</t>
        </is>
      </c>
      <c r="C172" s="20" t="inlineStr">
        <is>
          <t>Personality</t>
        </is>
      </c>
      <c r="D172" s="20" t="inlineStr">
        <is>
          <t>Rare</t>
        </is>
      </c>
      <c r="E172" s="20" t="inlineStr">
        <is>
          <t>2</t>
        </is>
      </c>
      <c r="F172" s="20" t="inlineStr">
        <is>
          <t>6</t>
        </is>
      </c>
      <c r="G172" s="20" t="inlineStr">
        <is>
          <t>Straight, Conservative</t>
        </is>
      </c>
      <c r="H172" s="20" t="str"/>
      <c r="I172" s="20" t="inlineStr">
        <is>
          <t>Groups controlled by him become Straight and Conservative, losing Weird/Liberal; changes revert when they get a new master.</t>
        </is>
      </c>
      <c r="J172" s="20" t="inlineStr">
        <is>
          <t>Needs rules-engine encoding</t>
        </is>
      </c>
      <c r="K172" s="20" t="inlineStr">
        <is>
          <t>High</t>
        </is>
      </c>
      <c r="L172" s="20" t="inlineStr">
        <is>
          <t>Mechanics and outgoing-arrow count checked against the printed card; described in our own words. Exact physical edge placement tracked separately.</t>
        </is>
      </c>
      <c r="M172" s="20" t="inlineStr">
        <is>
          <t>https://www.scribd.com/document/851089808/TheINWOBook</t>
        </is>
      </c>
      <c r="N172" t="inlineStr">
        <is>
          <t>Passive or activated special ability</t>
        </is>
      </c>
      <c r="O172" t="inlineStr">
        <is>
          <t>Per card ability</t>
        </is>
      </c>
      <c r="Q172" t="inlineStr">
        <is>
          <t>While controlled / per effect</t>
        </is>
      </c>
      <c r="R172" t="inlineStr">
        <is>
          <t>Groups controlled by him become Straight and Conservative, losing Weird/Liberal; changes revert when they get a new master.</t>
        </is>
      </c>
      <c r="S172" t="inlineStr">
        <is>
          <t>NO</t>
        </is>
      </c>
      <c r="T172" t="inlineStr">
        <is>
          <t>1 incoming control arrow</t>
        </is>
      </c>
      <c r="U172" t="n">
        <v>2</v>
      </c>
      <c r="V172" t="inlineStr">
        <is>
          <t>N/A — INWO uses Plots instead of group income/money</t>
        </is>
      </c>
      <c r="W172" t="inlineStr">
        <is>
          <t>Standard: 1 action token (Illuminati: 1 Illuminati action); verified mechanics state no override</t>
        </is>
      </c>
      <c r="X172" t="inlineStr">
        <is>
          <t>One copy in play at a time; spare copies act as hidden agents vs. a rival's copy; a destroyed Group cannot be replayed unless a card returns it (base rule)</t>
        </is>
      </c>
      <c r="Y172" t="inlineStr">
        <is>
          <t>None beyond base rules (verified mechanics state no override)</t>
        </is>
      </c>
      <c r="Z172" t="inlineStr">
        <is>
          <t>Standard response window (verified mechanics state no override)</t>
        </is>
      </c>
      <c r="AA172" t="inlineStr">
        <is>
          <t>Specific card overrides general rules</t>
        </is>
      </c>
      <c r="AB172" t="inlineStr">
        <is>
          <t>Indexed INWO Book, Groups section</t>
        </is>
      </c>
      <c r="AC172" t="inlineStr">
        <is>
          <t>FUNCTIONALLY COMPLETE</t>
        </is>
      </c>
      <c r="AE172" t="inlineStr">
        <is>
          <t>Indexed INWO Book / historical cross-check</t>
        </is>
      </c>
      <c r="AF172" t="inlineStr">
        <is>
          <t>EXACT EDGE POSITIONS VERIFIED</t>
        </is>
      </c>
      <c r="AG172" t="inlineStr">
        <is>
          <t>Verified from supplied original-card scan: Groups/INWO - Ross Perot.png. Triangle orientation establishes IN=TOP, OUT=LEFT, RIGHT.</t>
        </is>
      </c>
      <c r="AH172" t="inlineStr">
        <is>
          <t>TOP</t>
        </is>
      </c>
      <c r="AI172" t="inlineStr">
        <is>
          <t>LEFT, RIGHT</t>
        </is>
      </c>
      <c r="AJ172" t="inlineStr">
        <is>
          <t>VERIFIED</t>
        </is>
      </c>
      <c r="AK172" t="inlineStr">
        <is>
          <t>Verified from supplied original-card scan: Groups/INWO - Ross Perot.png. Triangle orientation establishes IN=TOP, OUT=LEFT, RIGHT.</t>
        </is>
      </c>
    </row>
    <row r="173" ht="34" customHeight="1" s="16">
      <c r="A173" s="20" t="inlineStr">
        <is>
          <t>Saddam Hussein</t>
        </is>
      </c>
      <c r="B173" s="20" t="inlineStr">
        <is>
          <t>Group</t>
        </is>
      </c>
      <c r="C173" s="20" t="inlineStr">
        <is>
          <t>Personality</t>
        </is>
      </c>
      <c r="D173" s="20" t="inlineStr">
        <is>
          <t>Common</t>
        </is>
      </c>
      <c r="E173" s="20" t="inlineStr">
        <is>
          <t>2</t>
        </is>
      </c>
      <c r="F173" s="20" t="inlineStr">
        <is>
          <t>4</t>
        </is>
      </c>
      <c r="G173" s="20" t="inlineStr">
        <is>
          <t>Violent, Government</t>
        </is>
      </c>
      <c r="H173" s="20" t="str"/>
      <c r="I173" s="20" t="inlineStr">
        <is>
          <t>As an action, cancel a Government group's action.</t>
        </is>
      </c>
      <c r="J173" s="20" t="inlineStr">
        <is>
          <t>Needs rules-engine encoding</t>
        </is>
      </c>
      <c r="K173" s="20" t="inlineStr">
        <is>
          <t>High</t>
        </is>
      </c>
      <c r="L173" s="20" t="inlineStr">
        <is>
          <t>Mechanics and outgoing-arrow count checked against the printed card; described in our own words. Exact physical edge placement tracked separately.</t>
        </is>
      </c>
      <c r="M173" s="20" t="inlineStr">
        <is>
          <t>https://www.scribd.com/document/851089808/TheINWOBook</t>
        </is>
      </c>
      <c r="N173" t="inlineStr">
        <is>
          <t>Passive or activated special ability</t>
        </is>
      </c>
      <c r="O173" t="inlineStr">
        <is>
          <t>Per card ability</t>
        </is>
      </c>
      <c r="Q173" t="inlineStr">
        <is>
          <t>While controlled / per effect</t>
        </is>
      </c>
      <c r="R173" t="inlineStr">
        <is>
          <t>As an action, cancel a Government group's action.</t>
        </is>
      </c>
      <c r="S173" t="inlineStr">
        <is>
          <t>NO</t>
        </is>
      </c>
      <c r="T173" t="inlineStr">
        <is>
          <t>1 incoming control arrow</t>
        </is>
      </c>
      <c r="U173" t="n">
        <v>1</v>
      </c>
      <c r="V173" t="inlineStr">
        <is>
          <t>N/A — INWO uses Plots instead of group income/money</t>
        </is>
      </c>
      <c r="W173" t="inlineStr">
        <is>
          <t>Standard: 1 action token (Illuminati: 1 Illuminati action); verified mechanics state no override</t>
        </is>
      </c>
      <c r="X173" t="inlineStr">
        <is>
          <t>One copy in play at a time; spare copies act as hidden agents vs. a rival's copy; a destroyed Group cannot be replayed unless a card returns it (base rule)</t>
        </is>
      </c>
      <c r="Y173" t="inlineStr">
        <is>
          <t>None beyond base rules (verified mechanics state no override)</t>
        </is>
      </c>
      <c r="Z173" t="inlineStr">
        <is>
          <t>Standard response window (verified mechanics state no override)</t>
        </is>
      </c>
      <c r="AA173" t="inlineStr">
        <is>
          <t>Specific card overrides general rules</t>
        </is>
      </c>
      <c r="AB173" t="inlineStr">
        <is>
          <t>Indexed INWO Book, Groups section</t>
        </is>
      </c>
      <c r="AC173" t="inlineStr">
        <is>
          <t>FUNCTIONALLY COMPLETE</t>
        </is>
      </c>
      <c r="AE173" t="inlineStr">
        <is>
          <t>Indexed INWO Book / historical cross-check</t>
        </is>
      </c>
      <c r="AF173" t="inlineStr">
        <is>
          <t>EXACT EDGE POSITIONS VERIFIED</t>
        </is>
      </c>
      <c r="AG173" t="inlineStr">
        <is>
          <t>Verified from supplied original-card scan: Groups/INWO - Saddam Hussein.png. Triangle orientation establishes IN=TOP, OUT=BOTTOM.</t>
        </is>
      </c>
      <c r="AH173" t="inlineStr">
        <is>
          <t>TOP</t>
        </is>
      </c>
      <c r="AI173" t="inlineStr">
        <is>
          <t>BOTTOM</t>
        </is>
      </c>
      <c r="AJ173" t="inlineStr">
        <is>
          <t>VERIFIED</t>
        </is>
      </c>
      <c r="AK173" t="inlineStr">
        <is>
          <t>Verified from supplied original-card scan: Groups/INWO - Saddam Hussein.png. Triangle orientation establishes IN=TOP, OUT=BOTTOM.</t>
        </is>
      </c>
    </row>
    <row r="174" ht="34" customHeight="1" s="16">
      <c r="A174" s="20" t="inlineStr">
        <is>
          <t>Brazil</t>
        </is>
      </c>
      <c r="B174" s="20" t="inlineStr">
        <is>
          <t>Group</t>
        </is>
      </c>
      <c r="C174" s="20" t="inlineStr">
        <is>
          <t>Place</t>
        </is>
      </c>
      <c r="D174" s="20" t="inlineStr">
        <is>
          <t>Common</t>
        </is>
      </c>
      <c r="E174" s="20" t="inlineStr">
        <is>
          <t>3</t>
        </is>
      </c>
      <c r="F174" s="20" t="inlineStr">
        <is>
          <t>3</t>
        </is>
      </c>
      <c r="G174" s="20" t="inlineStr">
        <is>
          <t>Government</t>
        </is>
      </c>
      <c r="H174" s="20" t="inlineStr">
        <is>
          <t>Huge, Coastal, Nation</t>
        </is>
      </c>
      <c r="I174" s="20" t="inlineStr">
        <is>
          <t>A Corporate master of Brazil gets one extra Action token each turn.</t>
        </is>
      </c>
      <c r="J174" s="20" t="inlineStr">
        <is>
          <t>Needs rules-engine encoding</t>
        </is>
      </c>
      <c r="K174" s="20" t="inlineStr">
        <is>
          <t>High</t>
        </is>
      </c>
      <c r="L174" s="20" t="inlineStr">
        <is>
          <t>Mechanics and outgoing-arrow count checked against the printed card; described in our own words. Exact physical edge placement tracked separately.</t>
        </is>
      </c>
      <c r="M174" s="20" t="inlineStr">
        <is>
          <t>https://www.scribd.com/document/851089808/TheINWOBook</t>
        </is>
      </c>
      <c r="N174" t="inlineStr">
        <is>
          <t>Passive or activated special ability</t>
        </is>
      </c>
      <c r="O174" t="inlineStr">
        <is>
          <t>Per card ability</t>
        </is>
      </c>
      <c r="Q174" t="inlineStr">
        <is>
          <t>While controlled / per effect</t>
        </is>
      </c>
      <c r="R174" t="inlineStr">
        <is>
          <t>A Corporate master of Brazil gets one extra Action token each turn.</t>
        </is>
      </c>
      <c r="S174" t="inlineStr">
        <is>
          <t>NO</t>
        </is>
      </c>
      <c r="T174" t="inlineStr">
        <is>
          <t>1 incoming control arrow</t>
        </is>
      </c>
      <c r="U174" t="n">
        <v>2</v>
      </c>
      <c r="V174" t="inlineStr">
        <is>
          <t>N/A — INWO uses Plots instead of group income/money</t>
        </is>
      </c>
      <c r="W174" t="inlineStr">
        <is>
          <t>Standard: 1 action token (Illuminati: 1 Illuminati action); verified mechanics state no override</t>
        </is>
      </c>
      <c r="X174" t="inlineStr">
        <is>
          <t>One copy in play at a time; spare copies act as hidden agents vs. a rival's copy; a destroyed Group cannot be replayed unless a card returns it (base rule)</t>
        </is>
      </c>
      <c r="Y174" t="inlineStr">
        <is>
          <t>None beyond base rules (verified mechanics state no override)</t>
        </is>
      </c>
      <c r="Z174" t="inlineStr">
        <is>
          <t>Standard response window (verified mechanics state no override)</t>
        </is>
      </c>
      <c r="AA174" t="inlineStr">
        <is>
          <t>Specific card overrides general rules</t>
        </is>
      </c>
      <c r="AB174" t="inlineStr">
        <is>
          <t>Indexed INWO Book, Groups section</t>
        </is>
      </c>
      <c r="AC174" t="inlineStr">
        <is>
          <t>FUNCTIONALLY COMPLETE</t>
        </is>
      </c>
      <c r="AE174" t="inlineStr">
        <is>
          <t>Indexed INWO Book / historical cross-check</t>
        </is>
      </c>
      <c r="AF174" t="inlineStr">
        <is>
          <t>EXACT EDGE POSITIONS VERIFIED</t>
        </is>
      </c>
      <c r="AG174" t="inlineStr">
        <is>
          <t>Verified from supplied original-card scan: Groups/INWO - Brazil.png. Triangle orientation establishes IN=BOTTOM, OUT=TOP, RIGHT.</t>
        </is>
      </c>
      <c r="AH174" t="inlineStr">
        <is>
          <t>BOTTOM</t>
        </is>
      </c>
      <c r="AI174" t="inlineStr">
        <is>
          <t>TOP, RIGHT</t>
        </is>
      </c>
      <c r="AJ174" t="inlineStr">
        <is>
          <t>VERIFIED</t>
        </is>
      </c>
      <c r="AK174" t="inlineStr">
        <is>
          <t>Verified from supplied original-card scan: Groups/INWO - Brazil.png. Triangle orientation establishes IN=BOTTOM, OUT=TOP, RIGHT.</t>
        </is>
      </c>
    </row>
    <row r="175" ht="34" customHeight="1" s="16">
      <c r="A175" s="20" t="inlineStr">
        <is>
          <t>California</t>
        </is>
      </c>
      <c r="B175" s="20" t="inlineStr">
        <is>
          <t>Group</t>
        </is>
      </c>
      <c r="C175" s="20" t="inlineStr">
        <is>
          <t>Place</t>
        </is>
      </c>
      <c r="D175" s="20" t="inlineStr">
        <is>
          <t>Common</t>
        </is>
      </c>
      <c r="E175" s="20" t="inlineStr">
        <is>
          <t>5</t>
        </is>
      </c>
      <c r="F175" s="20" t="inlineStr">
        <is>
          <t>4</t>
        </is>
      </c>
      <c r="G175" s="20" t="inlineStr">
        <is>
          <t>Weird, Liberal, Government</t>
        </is>
      </c>
      <c r="H175" s="20" t="inlineStr">
        <is>
          <t>Coastal, Huge, Green</t>
        </is>
      </c>
      <c r="I175" s="20" t="inlineStr">
        <is>
          <t>All Media groups you control get +1 Power.</t>
        </is>
      </c>
      <c r="J175" s="20" t="inlineStr">
        <is>
          <t>Needs rules-engine encoding</t>
        </is>
      </c>
      <c r="K175" s="20" t="inlineStr">
        <is>
          <t>High</t>
        </is>
      </c>
      <c r="L175" s="20" t="inlineStr">
        <is>
          <t>Mechanics and outgoing-arrow count checked against the printed card; described in our own words. Exact physical edge placement tracked separately.</t>
        </is>
      </c>
      <c r="M175" s="20" t="inlineStr">
        <is>
          <t>https://www.scribd.com/document/851089808/TheINWOBook</t>
        </is>
      </c>
      <c r="N175" t="inlineStr">
        <is>
          <t>Passive or activated special ability</t>
        </is>
      </c>
      <c r="O175" t="inlineStr">
        <is>
          <t>Per card ability</t>
        </is>
      </c>
      <c r="Q175" t="inlineStr">
        <is>
          <t>While controlled / per effect</t>
        </is>
      </c>
      <c r="R175" t="inlineStr">
        <is>
          <t>All Media groups you control get +1 Power.</t>
        </is>
      </c>
      <c r="S175" t="inlineStr">
        <is>
          <t>NO</t>
        </is>
      </c>
      <c r="T175" t="inlineStr">
        <is>
          <t>1 incoming control arrow</t>
        </is>
      </c>
      <c r="U175" t="n">
        <v>2</v>
      </c>
      <c r="V175" t="inlineStr">
        <is>
          <t>N/A — INWO uses Plots instead of group income/money</t>
        </is>
      </c>
      <c r="W175" t="inlineStr">
        <is>
          <t>Standard: 1 action token (Illuminati: 1 Illuminati action); verified mechanics state no override</t>
        </is>
      </c>
      <c r="X175" t="inlineStr">
        <is>
          <t>One copy in play at a time; spare copies act as hidden agents vs. a rival's copy; a destroyed Group cannot be replayed unless a card returns it (base rule)</t>
        </is>
      </c>
      <c r="Y175" t="inlineStr">
        <is>
          <t>None beyond base rules (verified mechanics state no override)</t>
        </is>
      </c>
      <c r="Z175" t="inlineStr">
        <is>
          <t>Standard response window (verified mechanics state no override)</t>
        </is>
      </c>
      <c r="AA175" t="inlineStr">
        <is>
          <t>Specific card overrides general rules</t>
        </is>
      </c>
      <c r="AB175" t="inlineStr">
        <is>
          <t>Indexed INWO Book, Groups section</t>
        </is>
      </c>
      <c r="AC175" t="inlineStr">
        <is>
          <t>FUNCTIONALLY COMPLETE</t>
        </is>
      </c>
      <c r="AE175" t="inlineStr">
        <is>
          <t>Indexed INWO Book / historical cross-check</t>
        </is>
      </c>
      <c r="AF175" t="inlineStr">
        <is>
          <t>EXACT EDGE POSITIONS VERIFIED</t>
        </is>
      </c>
      <c r="AG175" t="inlineStr">
        <is>
          <t>Verified from supplied original-card scan: Groups/INWO - California.png. Triangle orientation establishes IN=TOP, OUT=LEFT, RIGHT.</t>
        </is>
      </c>
      <c r="AH175" t="inlineStr">
        <is>
          <t>TOP</t>
        </is>
      </c>
      <c r="AI175" t="inlineStr">
        <is>
          <t>LEFT, RIGHT</t>
        </is>
      </c>
      <c r="AJ175" t="inlineStr">
        <is>
          <t>VERIFIED</t>
        </is>
      </c>
      <c r="AK175" t="inlineStr">
        <is>
          <t>Verified from supplied original-card scan: Groups/INWO - California.png. Triangle orientation establishes IN=TOP, OUT=LEFT, RIGHT.</t>
        </is>
      </c>
    </row>
    <row r="176" ht="34" customHeight="1" s="16">
      <c r="A176" s="20" t="inlineStr">
        <is>
          <t>Canada</t>
        </is>
      </c>
      <c r="B176" s="20" t="inlineStr">
        <is>
          <t>Group</t>
        </is>
      </c>
      <c r="C176" s="20" t="inlineStr">
        <is>
          <t>Place</t>
        </is>
      </c>
      <c r="D176" s="20" t="inlineStr">
        <is>
          <t>Rare</t>
        </is>
      </c>
      <c r="E176" s="20" t="inlineStr">
        <is>
          <t>3</t>
        </is>
      </c>
      <c r="F176" s="20" t="inlineStr">
        <is>
          <t>4</t>
        </is>
      </c>
      <c r="G176" s="20" t="inlineStr">
        <is>
          <t>Peaceful, Liberal, Government</t>
        </is>
      </c>
      <c r="H176" s="20" t="inlineStr">
        <is>
          <t>Huge, Green, Coastal, Nation</t>
        </is>
      </c>
      <c r="I176" s="20" t="inlineStr">
        <is>
          <t>+10 direct control of Green groups.</t>
        </is>
      </c>
      <c r="J176" s="20" t="inlineStr">
        <is>
          <t>Needs rules-engine encoding</t>
        </is>
      </c>
      <c r="K176" s="20" t="inlineStr">
        <is>
          <t>High</t>
        </is>
      </c>
      <c r="L176" s="20" t="inlineStr">
        <is>
          <t>Mechanics and outgoing-arrow count checked against the printed card; described in our own words. Exact physical edge placement tracked separately.</t>
        </is>
      </c>
      <c r="M176" s="20" t="inlineStr">
        <is>
          <t>https://www.scribd.com/document/851089808/TheINWOBook</t>
        </is>
      </c>
      <c r="N176" t="inlineStr">
        <is>
          <t>Passive or activated special ability</t>
        </is>
      </c>
      <c r="O176" t="inlineStr">
        <is>
          <t>Per card ability</t>
        </is>
      </c>
      <c r="Q176" t="inlineStr">
        <is>
          <t>While controlled / per effect</t>
        </is>
      </c>
      <c r="R176" t="inlineStr">
        <is>
          <t>+10 direct control of Green groups.</t>
        </is>
      </c>
      <c r="S176" t="inlineStr">
        <is>
          <t>NO</t>
        </is>
      </c>
      <c r="T176" t="inlineStr">
        <is>
          <t>1 incoming control arrow</t>
        </is>
      </c>
      <c r="U176" t="n">
        <v>2</v>
      </c>
      <c r="V176" t="inlineStr">
        <is>
          <t>N/A — INWO uses Plots instead of group income/money</t>
        </is>
      </c>
      <c r="W176" t="inlineStr">
        <is>
          <t>Standard: 1 action token (Illuminati: 1 Illuminati action); verified mechanics state no override</t>
        </is>
      </c>
      <c r="X176" t="inlineStr">
        <is>
          <t>One copy in play at a time; spare copies act as hidden agents vs. a rival's copy; a destroyed Group cannot be replayed unless a card returns it (base rule)</t>
        </is>
      </c>
      <c r="Y176" t="inlineStr">
        <is>
          <t>None beyond base rules (verified mechanics state no override)</t>
        </is>
      </c>
      <c r="Z176" t="inlineStr">
        <is>
          <t>Standard response window (verified mechanics state no override)</t>
        </is>
      </c>
      <c r="AA176" t="inlineStr">
        <is>
          <t>Specific card overrides general rules</t>
        </is>
      </c>
      <c r="AB176" t="inlineStr">
        <is>
          <t>Indexed INWO Book, Groups section</t>
        </is>
      </c>
      <c r="AC176" t="inlineStr">
        <is>
          <t>FUNCTIONALLY COMPLETE</t>
        </is>
      </c>
      <c r="AE176" t="inlineStr">
        <is>
          <t>Indexed INWO Book / historical cross-check</t>
        </is>
      </c>
      <c r="AF176" t="inlineStr">
        <is>
          <t>EXACT EDGE POSITIONS VERIFIED</t>
        </is>
      </c>
      <c r="AG176" t="inlineStr">
        <is>
          <t>Verified from supplied original-card scan: Groups/INWO - Canada.png. Triangle orientation establishes IN=TOP, OUT=BOTTOM, RIGHT.</t>
        </is>
      </c>
      <c r="AH176" t="inlineStr">
        <is>
          <t>TOP</t>
        </is>
      </c>
      <c r="AI176" t="inlineStr">
        <is>
          <t>BOTTOM, RIGHT</t>
        </is>
      </c>
      <c r="AJ176" t="inlineStr">
        <is>
          <t>VERIFIED</t>
        </is>
      </c>
      <c r="AK176" t="inlineStr">
        <is>
          <t>Verified from supplied original-card scan: Groups/INWO - Canada.png. Triangle orientation establishes IN=TOP, OUT=BOTTOM, RIGHT.</t>
        </is>
      </c>
    </row>
    <row r="177" ht="34" customHeight="1" s="16">
      <c r="A177" s="20" t="inlineStr">
        <is>
          <t>Center for Disease Control</t>
        </is>
      </c>
      <c r="B177" s="20" t="inlineStr">
        <is>
          <t>Group</t>
        </is>
      </c>
      <c r="C177" s="20" t="inlineStr">
        <is>
          <t>Place</t>
        </is>
      </c>
      <c r="D177" s="20" t="inlineStr">
        <is>
          <t>Uncommon</t>
        </is>
      </c>
      <c r="E177" s="20" t="inlineStr">
        <is>
          <t>1</t>
        </is>
      </c>
      <c r="F177" s="20" t="inlineStr">
        <is>
          <t>2</t>
        </is>
      </c>
      <c r="G177" s="20" t="inlineStr">
        <is>
          <t>Peaceful, Government</t>
        </is>
      </c>
      <c r="H177" s="20" t="inlineStr">
        <is>
          <t>Science</t>
        </is>
      </c>
      <c r="I177" s="20" t="inlineStr">
        <is>
          <t>As an action, Relief one Devastated Place; +15 direct destruction of a Place, but failure destroys CDC and credits the target owner.</t>
        </is>
      </c>
      <c r="J177" s="20" t="inlineStr">
        <is>
          <t>Needs rules-engine encoding</t>
        </is>
      </c>
      <c r="K177" s="20" t="inlineStr">
        <is>
          <t>High</t>
        </is>
      </c>
      <c r="L177" s="20" t="inlineStr">
        <is>
          <t>Mechanics and outgoing-arrow count checked against the printed card; described in our own words. Exact physical edge placement tracked separately.</t>
        </is>
      </c>
      <c r="M177" s="20" t="inlineStr">
        <is>
          <t>https://www.scribd.com/document/851089808/TheINWOBook</t>
        </is>
      </c>
      <c r="N177" t="inlineStr">
        <is>
          <t>Passive or activated special ability</t>
        </is>
      </c>
      <c r="O177" t="inlineStr">
        <is>
          <t>Per card ability</t>
        </is>
      </c>
      <c r="Q177" t="inlineStr">
        <is>
          <t>While controlled / per effect</t>
        </is>
      </c>
      <c r="R177" t="inlineStr">
        <is>
          <t>As an action, Relief one Devastated Place; +15 direct destruction of a Place, but failure destroys CDC and credits the target owner.</t>
        </is>
      </c>
      <c r="S177" t="inlineStr">
        <is>
          <t>NO</t>
        </is>
      </c>
      <c r="T177" t="inlineStr">
        <is>
          <t>1 incoming control arrow</t>
        </is>
      </c>
      <c r="U177" t="n">
        <v>0</v>
      </c>
      <c r="V177" t="inlineStr">
        <is>
          <t>N/A — INWO uses Plots instead of group income/money</t>
        </is>
      </c>
      <c r="W177" t="inlineStr">
        <is>
          <t>Standard: 1 action token (Illuminati: 1 Illuminati action); verified mechanics state no override</t>
        </is>
      </c>
      <c r="X177" t="inlineStr">
        <is>
          <t>One copy in play at a time; spare copies act as hidden agents vs. a rival's copy; a destroyed Group cannot be replayed unless a card returns it (base rule)</t>
        </is>
      </c>
      <c r="Y177" t="inlineStr">
        <is>
          <t>None beyond base rules (verified mechanics state no override)</t>
        </is>
      </c>
      <c r="Z177" t="inlineStr">
        <is>
          <t>Standard response window (verified mechanics state no override)</t>
        </is>
      </c>
      <c r="AA177" t="inlineStr">
        <is>
          <t>Specific card overrides general rules</t>
        </is>
      </c>
      <c r="AB177" t="inlineStr">
        <is>
          <t>Indexed INWO Book, Groups section</t>
        </is>
      </c>
      <c r="AC177" t="inlineStr">
        <is>
          <t>FUNCTIONALLY COMPLETE</t>
        </is>
      </c>
      <c r="AE177" t="inlineStr">
        <is>
          <t>Indexed INWO Book / historical cross-check</t>
        </is>
      </c>
      <c r="AF177" t="inlineStr">
        <is>
          <t>EXACT EDGE POSITIONS VERIFIED</t>
        </is>
      </c>
      <c r="AG177" t="inlineStr">
        <is>
          <t>Verified from supplied original-card scan: Groups/INWO - Center for Disease Control.png. Triangle orientation establishes IN=TOP, OUT=NONE.</t>
        </is>
      </c>
      <c r="AH177" t="inlineStr">
        <is>
          <t>TOP</t>
        </is>
      </c>
      <c r="AI177" t="inlineStr">
        <is>
          <t>NONE</t>
        </is>
      </c>
      <c r="AJ177" t="inlineStr">
        <is>
          <t>VERIFIED</t>
        </is>
      </c>
      <c r="AK177" t="inlineStr">
        <is>
          <t>Verified from supplied original-card scan: Groups/INWO - Center for Disease Control.png. Triangle orientation establishes IN=TOP, OUT=NONE.</t>
        </is>
      </c>
    </row>
    <row r="178" ht="34" customHeight="1" s="16">
      <c r="A178" s="20" t="inlineStr">
        <is>
          <t>China</t>
        </is>
      </c>
      <c r="B178" s="20" t="inlineStr">
        <is>
          <t>Group</t>
        </is>
      </c>
      <c r="C178" s="20" t="inlineStr">
        <is>
          <t>Place</t>
        </is>
      </c>
      <c r="D178" s="20" t="inlineStr">
        <is>
          <t>Rare</t>
        </is>
      </c>
      <c r="E178" s="20" t="inlineStr">
        <is>
          <t>4</t>
        </is>
      </c>
      <c r="F178" s="20" t="inlineStr">
        <is>
          <t>4</t>
        </is>
      </c>
      <c r="G178" s="20" t="inlineStr">
        <is>
          <t>Government</t>
        </is>
      </c>
      <c r="H178" s="20" t="inlineStr">
        <is>
          <t>Huge, Communist, Coastal, Nation</t>
        </is>
      </c>
      <c r="I178" s="20" t="inlineStr">
        <is>
          <t>A Corporate master gets one extra Action token each turn; any attempt to destroy China, including Disaster, is -20. [Official errata: +20 defense against Disasters.]</t>
        </is>
      </c>
      <c r="J178" s="20" t="inlineStr">
        <is>
          <t>Needs rules-engine encoding</t>
        </is>
      </c>
      <c r="K178" s="20" t="inlineStr">
        <is>
          <t>High</t>
        </is>
      </c>
      <c r="L178" s="20" t="inlineStr">
        <is>
          <t>Mechanics and outgoing-arrow count checked against the printed card; described in our own words. Exact physical edge placement tracked separately.</t>
        </is>
      </c>
      <c r="M178" s="20" t="inlineStr">
        <is>
          <t>https://www.scribd.com/document/851089808/TheINWOBook</t>
        </is>
      </c>
      <c r="N178" t="inlineStr">
        <is>
          <t>Passive or activated special ability</t>
        </is>
      </c>
      <c r="O178" t="inlineStr">
        <is>
          <t>Per card ability</t>
        </is>
      </c>
      <c r="Q178" t="inlineStr">
        <is>
          <t>While controlled / per effect</t>
        </is>
      </c>
      <c r="R178" t="inlineStr">
        <is>
          <t>A Corporate master gets one extra Action token each turn; any attempt to destroy China, including Disaster, is -20. [Official errata: +20 defense against Disasters.]</t>
        </is>
      </c>
      <c r="S178" t="inlineStr">
        <is>
          <t>NO</t>
        </is>
      </c>
      <c r="T178" t="inlineStr">
        <is>
          <t>1 incoming control arrow</t>
        </is>
      </c>
      <c r="U178" t="n">
        <v>2</v>
      </c>
      <c r="V178" t="inlineStr">
        <is>
          <t>N/A — INWO uses Plots instead of group income/money</t>
        </is>
      </c>
      <c r="W178" t="inlineStr">
        <is>
          <t>Standard: 1 action token (Illuminati: 1 Illuminati action); verified mechanics state no override</t>
        </is>
      </c>
      <c r="X178" t="inlineStr">
        <is>
          <t>One copy in play at a time; spare copies act as hidden agents vs. a rival's copy; a destroyed Group cannot be replayed unless a card returns it (base rule)</t>
        </is>
      </c>
      <c r="Y178" t="inlineStr">
        <is>
          <t>None beyond base rules (verified mechanics state no override)</t>
        </is>
      </c>
      <c r="Z178" t="inlineStr">
        <is>
          <t>Standard response window (verified mechanics state no override)</t>
        </is>
      </c>
      <c r="AA178" t="inlineStr">
        <is>
          <t>Specific card overrides general rules</t>
        </is>
      </c>
      <c r="AB178" t="inlineStr">
        <is>
          <t>Indexed INWO Book, Groups section</t>
        </is>
      </c>
      <c r="AC178" t="inlineStr">
        <is>
          <t>FUNCTIONALLY COMPLETE</t>
        </is>
      </c>
      <c r="AE178" t="inlineStr">
        <is>
          <t>Indexed INWO Book / historical cross-check</t>
        </is>
      </c>
      <c r="AF178" t="inlineStr">
        <is>
          <t>EXACT EDGE POSITIONS VERIFIED</t>
        </is>
      </c>
      <c r="AG178" t="inlineStr">
        <is>
          <t>Verified from supplied original-card scan: Groups/INWO - China.png. Triangle orientation establishes IN=BOTTOM, OUT=TOP, LEFT.</t>
        </is>
      </c>
      <c r="AH178" t="inlineStr">
        <is>
          <t>BOTTOM</t>
        </is>
      </c>
      <c r="AI178" t="inlineStr">
        <is>
          <t>TOP, LEFT</t>
        </is>
      </c>
      <c r="AJ178" t="inlineStr">
        <is>
          <t>VERIFIED</t>
        </is>
      </c>
      <c r="AK178" t="inlineStr">
        <is>
          <t>Verified from supplied original-card scan: Groups/INWO - China.png. Triangle orientation establishes IN=BOTTOM, OUT=TOP, LEFT.</t>
        </is>
      </c>
    </row>
    <row r="179" ht="34" customHeight="1" s="16">
      <c r="A179" s="20" t="inlineStr">
        <is>
          <t>Dinosaur Park</t>
        </is>
      </c>
      <c r="B179" s="20" t="inlineStr">
        <is>
          <t>Group</t>
        </is>
      </c>
      <c r="C179" s="20" t="inlineStr">
        <is>
          <t>Place</t>
        </is>
      </c>
      <c r="D179" s="20" t="inlineStr">
        <is>
          <t>Uncommon</t>
        </is>
      </c>
      <c r="E179" s="20" t="inlineStr">
        <is>
          <t>1</t>
        </is>
      </c>
      <c r="F179" s="20" t="inlineStr">
        <is>
          <t>3</t>
        </is>
      </c>
      <c r="G179" s="20" t="inlineStr">
        <is>
          <t>Corporate</t>
        </is>
      </c>
      <c r="H179" s="20" t="inlineStr">
        <is>
          <t>Science</t>
        </is>
      </c>
      <c r="I179" s="20" t="inlineStr">
        <is>
          <t>As an action, +4 to a Disaster; it and its master may aid/oppose attacks on Corporate or Science groups.</t>
        </is>
      </c>
      <c r="J179" s="20" t="inlineStr">
        <is>
          <t>Needs rules-engine encoding</t>
        </is>
      </c>
      <c r="K179" s="20" t="inlineStr">
        <is>
          <t>High</t>
        </is>
      </c>
      <c r="L179" s="20" t="inlineStr">
        <is>
          <t>Mechanics and outgoing-arrow count checked against the printed card; described in our own words. Exact physical edge placement tracked separately.</t>
        </is>
      </c>
      <c r="M179" s="20" t="inlineStr">
        <is>
          <t>https://www.scribd.com/document/851089808/TheINWOBook</t>
        </is>
      </c>
      <c r="N179" t="inlineStr">
        <is>
          <t>Passive or activated special ability</t>
        </is>
      </c>
      <c r="O179" t="inlineStr">
        <is>
          <t>Per card ability</t>
        </is>
      </c>
      <c r="Q179" t="inlineStr">
        <is>
          <t>While controlled / per effect</t>
        </is>
      </c>
      <c r="R179" t="inlineStr">
        <is>
          <t>As an action, +4 to a Disaster; it and its master may aid/oppose attacks on Corporate or Science groups.</t>
        </is>
      </c>
      <c r="S179" t="inlineStr">
        <is>
          <t>NO</t>
        </is>
      </c>
      <c r="T179" t="inlineStr">
        <is>
          <t>1 incoming control arrow</t>
        </is>
      </c>
      <c r="U179" t="n">
        <v>1</v>
      </c>
      <c r="V179" t="inlineStr">
        <is>
          <t>N/A — INWO uses Plots instead of group income/money</t>
        </is>
      </c>
      <c r="W179" t="inlineStr">
        <is>
          <t>Standard: 1 action token (Illuminati: 1 Illuminati action); verified mechanics state no override</t>
        </is>
      </c>
      <c r="X179" t="inlineStr">
        <is>
          <t>One copy in play at a time; spare copies act as hidden agents vs. a rival's copy; a destroyed Group cannot be replayed unless a card returns it (base rule)</t>
        </is>
      </c>
      <c r="Y179" t="inlineStr">
        <is>
          <t>None beyond base rules (verified mechanics state no override)</t>
        </is>
      </c>
      <c r="Z179" t="inlineStr">
        <is>
          <t>Standard response window (verified mechanics state no override)</t>
        </is>
      </c>
      <c r="AA179" t="inlineStr">
        <is>
          <t>Specific card overrides general rules</t>
        </is>
      </c>
      <c r="AB179" t="inlineStr">
        <is>
          <t>Indexed INWO Book, Groups section</t>
        </is>
      </c>
      <c r="AC179" t="inlineStr">
        <is>
          <t>FUNCTIONALLY COMPLETE</t>
        </is>
      </c>
      <c r="AE179" t="inlineStr">
        <is>
          <t>Indexed INWO Book / historical cross-check</t>
        </is>
      </c>
      <c r="AF179" t="inlineStr">
        <is>
          <t>EXACT EDGE POSITIONS VERIFIED</t>
        </is>
      </c>
      <c r="AG179" t="inlineStr">
        <is>
          <t>Verified from supplied original-card scan: Groups/INWO - Dinosaur Park.png. Triangle orientation establishes IN=TOP, OUT=LEFT.</t>
        </is>
      </c>
      <c r="AH179" t="inlineStr">
        <is>
          <t>TOP</t>
        </is>
      </c>
      <c r="AI179" t="inlineStr">
        <is>
          <t>LEFT</t>
        </is>
      </c>
      <c r="AJ179" t="inlineStr">
        <is>
          <t>VERIFIED</t>
        </is>
      </c>
      <c r="AK179" t="inlineStr">
        <is>
          <t>Verified from supplied original-card scan: Groups/INWO - Dinosaur Park.png. Triangle orientation establishes IN=TOP, OUT=LEFT.</t>
        </is>
      </c>
    </row>
    <row r="180" ht="34" customHeight="1" s="16">
      <c r="A180" s="20" t="inlineStr">
        <is>
          <t>England</t>
        </is>
      </c>
      <c r="B180" s="20" t="inlineStr">
        <is>
          <t>Group</t>
        </is>
      </c>
      <c r="C180" s="20" t="inlineStr">
        <is>
          <t>Place</t>
        </is>
      </c>
      <c r="D180" s="20" t="inlineStr">
        <is>
          <t>Common</t>
        </is>
      </c>
      <c r="E180" s="20" t="inlineStr">
        <is>
          <t>2/2</t>
        </is>
      </c>
      <c r="F180" s="20" t="inlineStr">
        <is>
          <t>6</t>
        </is>
      </c>
      <c r="G180" s="20" t="inlineStr">
        <is>
          <t>Government</t>
        </is>
      </c>
      <c r="H180" s="20" t="inlineStr">
        <is>
          <t>Huge, Coastal, Nation</t>
        </is>
      </c>
      <c r="I180" s="20" t="inlineStr">
        <is>
          <t>Gets two Action tokens every turn.</t>
        </is>
      </c>
      <c r="J180" s="20" t="inlineStr">
        <is>
          <t>Needs rules-engine encoding</t>
        </is>
      </c>
      <c r="K180" s="20" t="inlineStr">
        <is>
          <t>High</t>
        </is>
      </c>
      <c r="L180" s="20" t="inlineStr">
        <is>
          <t>Mechanics and outgoing-arrow count checked against the printed card; described in our own words. Exact physical edge placement tracked separately.</t>
        </is>
      </c>
      <c r="M180" s="20" t="inlineStr">
        <is>
          <t>https://www.scribd.com/document/851089808/TheINWOBook</t>
        </is>
      </c>
      <c r="N180" t="inlineStr">
        <is>
          <t>Passive or activated special ability</t>
        </is>
      </c>
      <c r="O180" t="inlineStr">
        <is>
          <t>Per card ability</t>
        </is>
      </c>
      <c r="Q180" t="inlineStr">
        <is>
          <t>While controlled / per effect</t>
        </is>
      </c>
      <c r="R180" t="inlineStr">
        <is>
          <t>Gets two Action tokens every turn.</t>
        </is>
      </c>
      <c r="S180" t="inlineStr">
        <is>
          <t>NO</t>
        </is>
      </c>
      <c r="T180" t="inlineStr">
        <is>
          <t>1 incoming control arrow</t>
        </is>
      </c>
      <c r="U180" t="n">
        <v>2</v>
      </c>
      <c r="V180" t="inlineStr">
        <is>
          <t>N/A — INWO uses Plots instead of group income/money</t>
        </is>
      </c>
      <c r="W180" t="inlineStr">
        <is>
          <t>Standard: 1 action token (Illuminati: 1 Illuminati action); verified mechanics state no override</t>
        </is>
      </c>
      <c r="X180" t="inlineStr">
        <is>
          <t>One copy in play at a time; spare copies act as hidden agents vs. a rival's copy; a destroyed Group cannot be replayed unless a card returns it (base rule)</t>
        </is>
      </c>
      <c r="Y180" t="inlineStr">
        <is>
          <t>None beyond base rules (verified mechanics state no override)</t>
        </is>
      </c>
      <c r="Z180" t="inlineStr">
        <is>
          <t>Standard response window (verified mechanics state no override)</t>
        </is>
      </c>
      <c r="AA180" t="inlineStr">
        <is>
          <t>Specific card overrides general rules</t>
        </is>
      </c>
      <c r="AB180" t="inlineStr">
        <is>
          <t>Indexed INWO Book, Groups section</t>
        </is>
      </c>
      <c r="AC180" t="inlineStr">
        <is>
          <t>FUNCTIONALLY COMPLETE</t>
        </is>
      </c>
      <c r="AE180" t="inlineStr">
        <is>
          <t>Indexed INWO Book / historical cross-check</t>
        </is>
      </c>
      <c r="AF180" t="inlineStr">
        <is>
          <t>EXACT EDGE POSITIONS VERIFIED</t>
        </is>
      </c>
      <c r="AG180" t="inlineStr">
        <is>
          <t>Verified from supplied original-card scan: Groups/INWO - England.png. Triangle orientation establishes IN=TOP, OUT=LEFT, RIGHT.</t>
        </is>
      </c>
      <c r="AH180" t="inlineStr">
        <is>
          <t>TOP</t>
        </is>
      </c>
      <c r="AI180" t="inlineStr">
        <is>
          <t>LEFT, RIGHT</t>
        </is>
      </c>
      <c r="AJ180" t="inlineStr">
        <is>
          <t>VERIFIED</t>
        </is>
      </c>
      <c r="AK180" t="inlineStr">
        <is>
          <t>Verified from supplied original-card scan: Groups/INWO - England.png. Triangle orientation establishes IN=TOP, OUT=LEFT, RIGHT.</t>
        </is>
      </c>
    </row>
    <row r="181" ht="34" customHeight="1" s="16">
      <c r="A181" s="20" t="inlineStr">
        <is>
          <t>Finland</t>
        </is>
      </c>
      <c r="B181" s="20" t="inlineStr">
        <is>
          <t>Group</t>
        </is>
      </c>
      <c r="C181" s="20" t="inlineStr">
        <is>
          <t>Place</t>
        </is>
      </c>
      <c r="D181" s="20" t="inlineStr">
        <is>
          <t>Rare</t>
        </is>
      </c>
      <c r="E181" s="20" t="inlineStr">
        <is>
          <t>2</t>
        </is>
      </c>
      <c r="F181" s="20" t="inlineStr">
        <is>
          <t>5</t>
        </is>
      </c>
      <c r="G181" s="20" t="inlineStr">
        <is>
          <t>Liberal, Government</t>
        </is>
      </c>
      <c r="H181" s="20" t="inlineStr">
        <is>
          <t>Computer, Coastal, Nation</t>
        </is>
      </c>
      <c r="I181" s="20" t="inlineStr">
        <is>
          <t>+6 direct control of Computer groups; +2 on any control attempt against Computer groups.</t>
        </is>
      </c>
      <c r="J181" s="20" t="inlineStr">
        <is>
          <t>Needs rules-engine encoding</t>
        </is>
      </c>
      <c r="K181" s="20" t="inlineStr">
        <is>
          <t>High</t>
        </is>
      </c>
      <c r="L181" s="20" t="inlineStr">
        <is>
          <t>Mechanics and outgoing-arrow count checked against the printed card; described in our own words. Exact physical edge placement tracked separately.</t>
        </is>
      </c>
      <c r="M181" s="20" t="inlineStr">
        <is>
          <t>https://www.scribd.com/document/851089808/TheINWOBook</t>
        </is>
      </c>
      <c r="N181" t="inlineStr">
        <is>
          <t>Passive or activated special ability</t>
        </is>
      </c>
      <c r="O181" t="inlineStr">
        <is>
          <t>Per card ability</t>
        </is>
      </c>
      <c r="Q181" t="inlineStr">
        <is>
          <t>While controlled / per effect</t>
        </is>
      </c>
      <c r="R181" t="inlineStr">
        <is>
          <t>+6 direct control of Computer groups; +2 on any control attempt against Computer groups.</t>
        </is>
      </c>
      <c r="S181" t="inlineStr">
        <is>
          <t>NO</t>
        </is>
      </c>
      <c r="T181" t="inlineStr">
        <is>
          <t>1 incoming control arrow</t>
        </is>
      </c>
      <c r="U181" t="n">
        <v>1</v>
      </c>
      <c r="V181" t="inlineStr">
        <is>
          <t>N/A — INWO uses Plots instead of group income/money</t>
        </is>
      </c>
      <c r="W181" t="inlineStr">
        <is>
          <t>Standard: 1 action token (Illuminati: 1 Illuminati action); verified mechanics state no override</t>
        </is>
      </c>
      <c r="X181" t="inlineStr">
        <is>
          <t>One copy in play at a time; spare copies act as hidden agents vs. a rival's copy; a destroyed Group cannot be replayed unless a card returns it (base rule)</t>
        </is>
      </c>
      <c r="Y181" t="inlineStr">
        <is>
          <t>None beyond base rules (verified mechanics state no override)</t>
        </is>
      </c>
      <c r="Z181" t="inlineStr">
        <is>
          <t>Standard response window (verified mechanics state no override)</t>
        </is>
      </c>
      <c r="AA181" t="inlineStr">
        <is>
          <t>Specific card overrides general rules</t>
        </is>
      </c>
      <c r="AB181" t="inlineStr">
        <is>
          <t>Indexed INWO Book, Groups section</t>
        </is>
      </c>
      <c r="AC181" t="inlineStr">
        <is>
          <t>FUNCTIONALLY COMPLETE</t>
        </is>
      </c>
      <c r="AE181" t="inlineStr">
        <is>
          <t>Indexed INWO Book / historical cross-check</t>
        </is>
      </c>
      <c r="AF181" t="inlineStr">
        <is>
          <t>EXACT EDGE POSITIONS VERIFIED</t>
        </is>
      </c>
      <c r="AG181" t="inlineStr">
        <is>
          <t>Verified from supplied original-card scan: Groups/INWO - Finland.png. Triangle orientation establishes IN=TOP, OUT=LEFT.</t>
        </is>
      </c>
      <c r="AH181" t="inlineStr">
        <is>
          <t>TOP</t>
        </is>
      </c>
      <c r="AI181" t="inlineStr">
        <is>
          <t>LEFT</t>
        </is>
      </c>
      <c r="AJ181" t="inlineStr">
        <is>
          <t>VERIFIED</t>
        </is>
      </c>
      <c r="AK181" t="inlineStr">
        <is>
          <t>Verified from supplied original-card scan: Groups/INWO - Finland.png. Triangle orientation establishes IN=TOP, OUT=LEFT.</t>
        </is>
      </c>
    </row>
    <row r="182" ht="34" customHeight="1" s="16">
      <c r="A182" s="20" t="inlineStr">
        <is>
          <t>France</t>
        </is>
      </c>
      <c r="B182" s="20" t="inlineStr">
        <is>
          <t>Group</t>
        </is>
      </c>
      <c r="C182" s="20" t="inlineStr">
        <is>
          <t>Place</t>
        </is>
      </c>
      <c r="D182" s="20" t="inlineStr">
        <is>
          <t>Common</t>
        </is>
      </c>
      <c r="E182" s="20" t="inlineStr">
        <is>
          <t>3</t>
        </is>
      </c>
      <c r="F182" s="20" t="inlineStr">
        <is>
          <t>5</t>
        </is>
      </c>
      <c r="G182" s="20" t="inlineStr">
        <is>
          <t>Liberal, Government</t>
        </is>
      </c>
      <c r="H182" s="20" t="inlineStr">
        <is>
          <t>Huge, Coastal, Nation</t>
        </is>
      </c>
      <c r="I182" s="20" t="inlineStr">
        <is>
          <t>May use its Power to defend Liberal groups you control without spending an action (once per attack).</t>
        </is>
      </c>
      <c r="J182" s="20" t="inlineStr">
        <is>
          <t>Needs rules-engine encoding</t>
        </is>
      </c>
      <c r="K182" s="20" t="inlineStr">
        <is>
          <t>High</t>
        </is>
      </c>
      <c r="L182" s="20" t="inlineStr">
        <is>
          <t>Mechanics and outgoing-arrow count checked against the printed card; described in our own words. Exact physical edge placement tracked separately.</t>
        </is>
      </c>
      <c r="M182" s="20" t="inlineStr">
        <is>
          <t>https://www.scribd.com/document/851089808/TheINWOBook</t>
        </is>
      </c>
      <c r="N182" t="inlineStr">
        <is>
          <t>Passive or activated special ability</t>
        </is>
      </c>
      <c r="O182" t="inlineStr">
        <is>
          <t>Per card ability</t>
        </is>
      </c>
      <c r="Q182" t="inlineStr">
        <is>
          <t>While controlled / per effect</t>
        </is>
      </c>
      <c r="R182" t="inlineStr">
        <is>
          <t>May use its Power to defend Liberal groups you control without spending an action (once per attack).</t>
        </is>
      </c>
      <c r="S182" t="inlineStr">
        <is>
          <t>NO</t>
        </is>
      </c>
      <c r="T182" t="inlineStr">
        <is>
          <t>1 incoming control arrow</t>
        </is>
      </c>
      <c r="U182" t="n">
        <v>1</v>
      </c>
      <c r="V182" t="inlineStr">
        <is>
          <t>N/A — INWO uses Plots instead of group income/money</t>
        </is>
      </c>
      <c r="W182" t="inlineStr">
        <is>
          <t>Standard: 1 action token (Illuminati: 1 Illuminati action); verified mechanics state no override</t>
        </is>
      </c>
      <c r="X182" t="inlineStr">
        <is>
          <t>One copy in play at a time; spare copies act as hidden agents vs. a rival's copy; a destroyed Group cannot be replayed unless a card returns it (base rule)</t>
        </is>
      </c>
      <c r="Y182" t="inlineStr">
        <is>
          <t>None beyond base rules (verified mechanics state no override)</t>
        </is>
      </c>
      <c r="Z182" t="inlineStr">
        <is>
          <t>Standard response window (verified mechanics state no override)</t>
        </is>
      </c>
      <c r="AA182" t="inlineStr">
        <is>
          <t>Specific card overrides general rules</t>
        </is>
      </c>
      <c r="AB182" t="inlineStr">
        <is>
          <t>Indexed INWO Book, Groups section</t>
        </is>
      </c>
      <c r="AC182" t="inlineStr">
        <is>
          <t>FUNCTIONALLY COMPLETE</t>
        </is>
      </c>
      <c r="AE182" t="inlineStr">
        <is>
          <t>Indexed INWO Book / historical cross-check</t>
        </is>
      </c>
      <c r="AF182" t="inlineStr">
        <is>
          <t>EXACT EDGE POSITIONS VERIFIED</t>
        </is>
      </c>
      <c r="AG182" t="inlineStr">
        <is>
          <t>Verified from supplied original-card scan: Groups/INWO - France.png. Triangle orientation establishes IN=BOTTOM, OUT=TOP.</t>
        </is>
      </c>
      <c r="AH182" t="inlineStr">
        <is>
          <t>BOTTOM</t>
        </is>
      </c>
      <c r="AI182" t="inlineStr">
        <is>
          <t>TOP</t>
        </is>
      </c>
      <c r="AJ182" t="inlineStr">
        <is>
          <t>VERIFIED</t>
        </is>
      </c>
      <c r="AK182" t="inlineStr">
        <is>
          <t>Verified from supplied original-card scan: Groups/INWO - France.png. Triangle orientation establishes IN=BOTTOM, OUT=TOP.</t>
        </is>
      </c>
    </row>
    <row r="183" ht="34" customHeight="1" s="16">
      <c r="A183" s="20" t="inlineStr">
        <is>
          <t>Germany</t>
        </is>
      </c>
      <c r="B183" s="20" t="inlineStr">
        <is>
          <t>Group</t>
        </is>
      </c>
      <c r="C183" s="20" t="inlineStr">
        <is>
          <t>Place</t>
        </is>
      </c>
      <c r="D183" s="20" t="inlineStr">
        <is>
          <t>Rare</t>
        </is>
      </c>
      <c r="E183" s="20" t="inlineStr">
        <is>
          <t>4</t>
        </is>
      </c>
      <c r="F183" s="20" t="inlineStr">
        <is>
          <t>3</t>
        </is>
      </c>
      <c r="G183" s="20" t="inlineStr">
        <is>
          <t>Conservative, Government</t>
        </is>
      </c>
      <c r="H183" s="20" t="inlineStr">
        <is>
          <t>Huge, Coastal, Nation</t>
        </is>
      </c>
      <c r="I183" s="20" t="inlineStr">
        <is>
          <t>May save unused Action tokens and receives another even while tokens remain; may combine saved tokens in one attack; +2 on any control attempt against a Science group.</t>
        </is>
      </c>
      <c r="J183" s="20" t="inlineStr">
        <is>
          <t>Needs rules-engine encoding</t>
        </is>
      </c>
      <c r="K183" s="20" t="inlineStr">
        <is>
          <t>High</t>
        </is>
      </c>
      <c r="L183" s="20" t="inlineStr">
        <is>
          <t>Mechanics and outgoing-arrow count checked against the printed card; described in our own words. Exact physical edge placement tracked separately.</t>
        </is>
      </c>
      <c r="M183" s="20" t="inlineStr">
        <is>
          <t>https://www.scribd.com/document/851089808/TheINWOBook</t>
        </is>
      </c>
      <c r="N183" t="inlineStr">
        <is>
          <t>Passive or activated special ability</t>
        </is>
      </c>
      <c r="O183" t="inlineStr">
        <is>
          <t>Per card ability</t>
        </is>
      </c>
      <c r="Q183" t="inlineStr">
        <is>
          <t>While controlled / per effect</t>
        </is>
      </c>
      <c r="R183" t="inlineStr">
        <is>
          <t>May save unused Action tokens and receives another even while tokens remain; may combine saved tokens in one attack; +2 on any control attempt against a Science group.</t>
        </is>
      </c>
      <c r="S183" t="inlineStr">
        <is>
          <t>NO</t>
        </is>
      </c>
      <c r="T183" t="inlineStr">
        <is>
          <t>1 incoming control arrow</t>
        </is>
      </c>
      <c r="U183" t="n">
        <v>3</v>
      </c>
      <c r="V183" t="inlineStr">
        <is>
          <t>N/A — INWO uses Plots instead of group income/money</t>
        </is>
      </c>
      <c r="W183" t="inlineStr">
        <is>
          <t>Standard: 1 action token (Illuminati: 1 Illuminati action); verified mechanics state no override</t>
        </is>
      </c>
      <c r="X183" t="inlineStr">
        <is>
          <t>One copy in play at a time; spare copies act as hidden agents vs. a rival's copy; a destroyed Group cannot be replayed unless a card returns it (base rule)</t>
        </is>
      </c>
      <c r="Y183" t="inlineStr">
        <is>
          <t>None beyond base rules (verified mechanics state no override)</t>
        </is>
      </c>
      <c r="Z183" t="inlineStr">
        <is>
          <t>Standard response window (verified mechanics state no override)</t>
        </is>
      </c>
      <c r="AA183" t="inlineStr">
        <is>
          <t>Specific card overrides general rules</t>
        </is>
      </c>
      <c r="AB183" t="inlineStr">
        <is>
          <t>Indexed INWO Book, Groups section</t>
        </is>
      </c>
      <c r="AC183" t="inlineStr">
        <is>
          <t>FUNCTIONALLY COMPLETE</t>
        </is>
      </c>
      <c r="AE183" t="inlineStr">
        <is>
          <t>Indexed INWO Book / historical cross-check</t>
        </is>
      </c>
      <c r="AF183" t="inlineStr">
        <is>
          <t>EXACT EDGE POSITIONS VERIFIED</t>
        </is>
      </c>
      <c r="AG183" t="inlineStr">
        <is>
          <t>Verified from supplied original-card scan: Groups/INWO - Germany.png. Triangle orientation establishes IN=BOTTOM, OUT=TOP, LEFT, RIGHT.</t>
        </is>
      </c>
      <c r="AH183" t="inlineStr">
        <is>
          <t>BOTTOM</t>
        </is>
      </c>
      <c r="AI183" t="inlineStr">
        <is>
          <t>TOP, LEFT, RIGHT</t>
        </is>
      </c>
      <c r="AJ183" t="inlineStr">
        <is>
          <t>VERIFIED</t>
        </is>
      </c>
      <c r="AK183" t="inlineStr">
        <is>
          <t>Verified from supplied original-card scan: Groups/INWO - Germany.png. Triangle orientation establishes IN=BOTTOM, OUT=TOP, LEFT, RIGHT.</t>
        </is>
      </c>
    </row>
    <row r="184" ht="34" customHeight="1" s="16">
      <c r="A184" s="20" t="inlineStr">
        <is>
          <t>Hawaii</t>
        </is>
      </c>
      <c r="B184" s="20" t="inlineStr">
        <is>
          <t>Group</t>
        </is>
      </c>
      <c r="C184" s="20" t="inlineStr">
        <is>
          <t>Place</t>
        </is>
      </c>
      <c r="D184" s="20" t="inlineStr">
        <is>
          <t>Common</t>
        </is>
      </c>
      <c r="E184" s="20" t="inlineStr">
        <is>
          <t>1</t>
        </is>
      </c>
      <c r="F184" s="20" t="inlineStr">
        <is>
          <t>2</t>
        </is>
      </c>
      <c r="G184" s="20" t="inlineStr">
        <is>
          <t>Corporate</t>
        </is>
      </c>
      <c r="H184" s="20" t="inlineStr">
        <is>
          <t>Coastal</t>
        </is>
      </c>
      <c r="I184" s="20" t="inlineStr">
        <is>
          <t>A Corporate master gets one extra Action token each turn.</t>
        </is>
      </c>
      <c r="J184" s="20" t="inlineStr">
        <is>
          <t>Needs rules-engine encoding</t>
        </is>
      </c>
      <c r="K184" s="20" t="inlineStr">
        <is>
          <t>High</t>
        </is>
      </c>
      <c r="L184" s="20" t="inlineStr">
        <is>
          <t>Mechanics and outgoing-arrow count checked against the printed card; described in our own words. Exact physical edge placement tracked separately.</t>
        </is>
      </c>
      <c r="M184" s="20" t="inlineStr">
        <is>
          <t>https://www.scribd.com/document/851089808/TheINWOBook</t>
        </is>
      </c>
      <c r="N184" t="inlineStr">
        <is>
          <t>Passive or activated special ability</t>
        </is>
      </c>
      <c r="O184" t="inlineStr">
        <is>
          <t>Per card ability</t>
        </is>
      </c>
      <c r="Q184" t="inlineStr">
        <is>
          <t>While controlled / per effect</t>
        </is>
      </c>
      <c r="R184" t="inlineStr">
        <is>
          <t>A Corporate master gets one extra Action token each turn.</t>
        </is>
      </c>
      <c r="S184" t="inlineStr">
        <is>
          <t>NO</t>
        </is>
      </c>
      <c r="T184" t="inlineStr">
        <is>
          <t>1 incoming control arrow</t>
        </is>
      </c>
      <c r="U184" t="n">
        <v>1</v>
      </c>
      <c r="V184" t="inlineStr">
        <is>
          <t>N/A — INWO uses Plots instead of group income/money</t>
        </is>
      </c>
      <c r="W184" t="inlineStr">
        <is>
          <t>Standard: 1 action token (Illuminati: 1 Illuminati action); verified mechanics state no override</t>
        </is>
      </c>
      <c r="X184" t="inlineStr">
        <is>
          <t>One copy in play at a time; spare copies act as hidden agents vs. a rival's copy; a destroyed Group cannot be replayed unless a card returns it (base rule)</t>
        </is>
      </c>
      <c r="Y184" t="inlineStr">
        <is>
          <t>None beyond base rules (verified mechanics state no override)</t>
        </is>
      </c>
      <c r="Z184" t="inlineStr">
        <is>
          <t>Standard response window (verified mechanics state no override)</t>
        </is>
      </c>
      <c r="AA184" t="inlineStr">
        <is>
          <t>Specific card overrides general rules</t>
        </is>
      </c>
      <c r="AB184" t="inlineStr">
        <is>
          <t>Indexed INWO Book, Groups section</t>
        </is>
      </c>
      <c r="AC184" t="inlineStr">
        <is>
          <t>FUNCTIONALLY COMPLETE</t>
        </is>
      </c>
      <c r="AE184" t="inlineStr">
        <is>
          <t>Indexed INWO Book / historical cross-check</t>
        </is>
      </c>
      <c r="AF184" t="inlineStr">
        <is>
          <t>EXACT EDGE POSITIONS VERIFIED</t>
        </is>
      </c>
      <c r="AG184" t="inlineStr">
        <is>
          <t>Verified from supplied original-card scan: Groups/INWO - Hawaii.png. Triangle orientation establishes IN=TOP, OUT=BOTTOM.</t>
        </is>
      </c>
      <c r="AH184" t="inlineStr">
        <is>
          <t>TOP</t>
        </is>
      </c>
      <c r="AI184" t="inlineStr">
        <is>
          <t>BOTTOM</t>
        </is>
      </c>
      <c r="AJ184" t="inlineStr">
        <is>
          <t>VERIFIED</t>
        </is>
      </c>
      <c r="AK184" t="inlineStr">
        <is>
          <t>Verified from supplied original-card scan: Groups/INWO - Hawaii.png. Triangle orientation establishes IN=TOP, OUT=BOTTOM.</t>
        </is>
      </c>
    </row>
    <row r="185" ht="34" customHeight="1" s="16">
      <c r="A185" s="20" t="inlineStr">
        <is>
          <t>Hollywood</t>
        </is>
      </c>
      <c r="B185" s="20" t="inlineStr">
        <is>
          <t>Group</t>
        </is>
      </c>
      <c r="C185" s="20" t="inlineStr">
        <is>
          <t>Place</t>
        </is>
      </c>
      <c r="D185" s="20" t="inlineStr">
        <is>
          <t>Uncommon</t>
        </is>
      </c>
      <c r="E185" s="20" t="inlineStr">
        <is>
          <t>3/3</t>
        </is>
      </c>
      <c r="F185" s="20" t="inlineStr">
        <is>
          <t>0</t>
        </is>
      </c>
      <c r="G185" s="20" t="inlineStr">
        <is>
          <t>Liberal</t>
        </is>
      </c>
      <c r="H185" s="20" t="inlineStr">
        <is>
          <t>Media</t>
        </is>
      </c>
      <c r="I185" s="20" t="inlineStr">
        <is>
          <t>Gets +2 regular and Global Power for each Media Personality you control.</t>
        </is>
      </c>
      <c r="J185" s="20" t="inlineStr">
        <is>
          <t>Needs rules-engine encoding</t>
        </is>
      </c>
      <c r="K185" s="20" t="inlineStr">
        <is>
          <t>High</t>
        </is>
      </c>
      <c r="L185" s="20" t="inlineStr">
        <is>
          <t>Mechanics and outgoing-arrow count checked against the printed card; described in our own words. Exact physical edge placement tracked separately.</t>
        </is>
      </c>
      <c r="M185" s="20" t="inlineStr">
        <is>
          <t>https://www.scribd.com/document/851089808/TheINWOBook</t>
        </is>
      </c>
      <c r="N185" t="inlineStr">
        <is>
          <t>Passive or activated special ability</t>
        </is>
      </c>
      <c r="O185" t="inlineStr">
        <is>
          <t>Per card ability</t>
        </is>
      </c>
      <c r="Q185" t="inlineStr">
        <is>
          <t>While controlled / per effect</t>
        </is>
      </c>
      <c r="R185" t="inlineStr">
        <is>
          <t>Gets +2 regular and Global Power for each Media Personality you control.</t>
        </is>
      </c>
      <c r="S185" t="inlineStr">
        <is>
          <t>NO</t>
        </is>
      </c>
      <c r="T185" t="inlineStr">
        <is>
          <t>1 incoming control arrow</t>
        </is>
      </c>
      <c r="U185" t="n">
        <v>2</v>
      </c>
      <c r="V185" t="inlineStr">
        <is>
          <t>N/A — INWO uses Plots instead of group income/money</t>
        </is>
      </c>
      <c r="W185" t="inlineStr">
        <is>
          <t>Standard: 1 action token (Illuminati: 1 Illuminati action); verified mechanics state no override</t>
        </is>
      </c>
      <c r="X185" t="inlineStr">
        <is>
          <t>One copy in play at a time; spare copies act as hidden agents vs. a rival's copy; a destroyed Group cannot be replayed unless a card returns it (base rule)</t>
        </is>
      </c>
      <c r="Y185" t="inlineStr">
        <is>
          <t>None beyond base rules (verified mechanics state no override)</t>
        </is>
      </c>
      <c r="Z185" t="inlineStr">
        <is>
          <t>Standard response window (verified mechanics state no override)</t>
        </is>
      </c>
      <c r="AA185" t="inlineStr">
        <is>
          <t>Specific card overrides general rules</t>
        </is>
      </c>
      <c r="AB185" t="inlineStr">
        <is>
          <t>Indexed INWO Book, Groups section</t>
        </is>
      </c>
      <c r="AC185" t="inlineStr">
        <is>
          <t>FUNCTIONALLY COMPLETE</t>
        </is>
      </c>
      <c r="AE185" t="inlineStr">
        <is>
          <t>Indexed INWO Book / historical cross-check</t>
        </is>
      </c>
      <c r="AF185" t="inlineStr">
        <is>
          <t>EXACT EDGE POSITIONS VERIFIED</t>
        </is>
      </c>
      <c r="AG185" t="inlineStr">
        <is>
          <t>Verified from supplied original-card scan: Groups/INWO - Hollywood.png. Triangle orientation establishes IN=BOTTOM, OUT=TOP, LEFT.</t>
        </is>
      </c>
      <c r="AH185" t="inlineStr">
        <is>
          <t>BOTTOM</t>
        </is>
      </c>
      <c r="AI185" t="inlineStr">
        <is>
          <t>TOP, LEFT</t>
        </is>
      </c>
      <c r="AJ185" t="inlineStr">
        <is>
          <t>VERIFIED</t>
        </is>
      </c>
      <c r="AK185" t="inlineStr">
        <is>
          <t>Verified from supplied original-card scan: Groups/INWO - Hollywood.png. Triangle orientation establishes IN=BOTTOM, OUT=TOP, LEFT.</t>
        </is>
      </c>
    </row>
    <row r="186" ht="34" customHeight="1" s="16">
      <c r="A186" s="20" t="inlineStr">
        <is>
          <t>Israel</t>
        </is>
      </c>
      <c r="B186" s="20" t="inlineStr">
        <is>
          <t>Group</t>
        </is>
      </c>
      <c r="C186" s="20" t="inlineStr">
        <is>
          <t>Place</t>
        </is>
      </c>
      <c r="D186" s="20" t="inlineStr">
        <is>
          <t>Rare</t>
        </is>
      </c>
      <c r="E186" s="20" t="inlineStr">
        <is>
          <t>3/3</t>
        </is>
      </c>
      <c r="F186" s="20" t="inlineStr">
        <is>
          <t>8</t>
        </is>
      </c>
      <c r="G186" s="20" t="inlineStr">
        <is>
          <t>Violent, Government</t>
        </is>
      </c>
      <c r="H186" s="20" t="inlineStr">
        <is>
          <t>Coastal, Nation</t>
        </is>
      </c>
      <c r="I186" s="20" t="inlineStr">
        <is>
          <t>+8 on any control attempt against Mossad; may interfere in any attack regardless of alignments, even privileged attacks, thereby negating privilege.</t>
        </is>
      </c>
      <c r="J186" s="20" t="inlineStr">
        <is>
          <t>Needs rules-engine encoding</t>
        </is>
      </c>
      <c r="K186" s="20" t="inlineStr">
        <is>
          <t>High</t>
        </is>
      </c>
      <c r="L186" s="20" t="inlineStr">
        <is>
          <t>Mechanics and outgoing-arrow count checked against the printed card; described in our own words. Exact physical edge placement tracked separately.</t>
        </is>
      </c>
      <c r="M186" s="20" t="inlineStr">
        <is>
          <t>https://www.scribd.com/document/851089808/TheINWOBook</t>
        </is>
      </c>
      <c r="N186" t="inlineStr">
        <is>
          <t>Passive or activated special ability</t>
        </is>
      </c>
      <c r="O186" t="inlineStr">
        <is>
          <t>Per card ability</t>
        </is>
      </c>
      <c r="Q186" t="inlineStr">
        <is>
          <t>While controlled / per effect</t>
        </is>
      </c>
      <c r="R186" t="inlineStr">
        <is>
          <t>+8 on any control attempt against Mossad; may interfere in any attack regardless of alignments, even privileged attacks, thereby negating privilege.</t>
        </is>
      </c>
      <c r="S186" t="inlineStr">
        <is>
          <t>NO</t>
        </is>
      </c>
      <c r="T186" t="inlineStr">
        <is>
          <t>1 incoming control arrow</t>
        </is>
      </c>
      <c r="U186" t="n">
        <v>2</v>
      </c>
      <c r="V186" t="inlineStr">
        <is>
          <t>N/A — INWO uses Plots instead of group income/money</t>
        </is>
      </c>
      <c r="W186" t="inlineStr">
        <is>
          <t>Standard: 1 action token (Illuminati: 1 Illuminati action); verified mechanics state no override</t>
        </is>
      </c>
      <c r="X186" t="inlineStr">
        <is>
          <t>One copy in play at a time; spare copies act as hidden agents vs. a rival's copy; a destroyed Group cannot be replayed unless a card returns it (base rule)</t>
        </is>
      </c>
      <c r="Y186" t="inlineStr">
        <is>
          <t>None beyond base rules (verified mechanics state no override)</t>
        </is>
      </c>
      <c r="Z186" t="inlineStr">
        <is>
          <t>Standard response window (verified mechanics state no override)</t>
        </is>
      </c>
      <c r="AA186" t="inlineStr">
        <is>
          <t>Specific card overrides general rules</t>
        </is>
      </c>
      <c r="AB186" t="inlineStr">
        <is>
          <t>Indexed INWO Book, Groups section</t>
        </is>
      </c>
      <c r="AC186" t="inlineStr">
        <is>
          <t>FUNCTIONALLY COMPLETE</t>
        </is>
      </c>
      <c r="AE186" t="inlineStr">
        <is>
          <t>Indexed INWO Book / historical cross-check</t>
        </is>
      </c>
      <c r="AF186" t="inlineStr">
        <is>
          <t>EXACT EDGE POSITIONS VERIFIED</t>
        </is>
      </c>
      <c r="AG186" t="inlineStr">
        <is>
          <t>Verified from supplied original-card scan: Groups/INWO - Israel.png. Triangle orientation establishes IN=TOP, OUT=LEFT, RIGHT.</t>
        </is>
      </c>
      <c r="AH186" t="inlineStr">
        <is>
          <t>TOP</t>
        </is>
      </c>
      <c r="AI186" t="inlineStr">
        <is>
          <t>LEFT, RIGHT</t>
        </is>
      </c>
      <c r="AJ186" t="inlineStr">
        <is>
          <t>VERIFIED</t>
        </is>
      </c>
      <c r="AK186" t="inlineStr">
        <is>
          <t>Verified from supplied original-card scan: Groups/INWO - Israel.png. Triangle orientation establishes IN=TOP, OUT=LEFT, RIGHT.</t>
        </is>
      </c>
    </row>
    <row r="187" ht="34" customHeight="1" s="16">
      <c r="A187" s="20" t="inlineStr">
        <is>
          <t>Italy</t>
        </is>
      </c>
      <c r="B187" s="20" t="inlineStr">
        <is>
          <t>Group</t>
        </is>
      </c>
      <c r="C187" s="20" t="inlineStr">
        <is>
          <t>Place</t>
        </is>
      </c>
      <c r="D187" s="20" t="inlineStr">
        <is>
          <t>Rare</t>
        </is>
      </c>
      <c r="E187" s="20" t="inlineStr">
        <is>
          <t>3</t>
        </is>
      </c>
      <c r="F187" s="20" t="inlineStr">
        <is>
          <t>6</t>
        </is>
      </c>
      <c r="G187" s="20" t="inlineStr">
        <is>
          <t>Liberal, Government</t>
        </is>
      </c>
      <c r="H187" s="20" t="inlineStr">
        <is>
          <t>Coastal, Nation</t>
        </is>
      </c>
      <c r="I187" s="20" t="inlineStr">
        <is>
          <t>May use its Power to defend Weird groups you control without spending an action (once per attack).</t>
        </is>
      </c>
      <c r="J187" s="20" t="inlineStr">
        <is>
          <t>Needs rules-engine encoding</t>
        </is>
      </c>
      <c r="K187" s="20" t="inlineStr">
        <is>
          <t>High</t>
        </is>
      </c>
      <c r="L187" s="20" t="inlineStr">
        <is>
          <t>Mechanics and outgoing-arrow count checked against the printed card; described in our own words. Exact physical edge placement tracked separately.</t>
        </is>
      </c>
      <c r="M187" s="20" t="inlineStr">
        <is>
          <t>https://www.scribd.com/document/851089808/TheINWOBook</t>
        </is>
      </c>
      <c r="N187" t="inlineStr">
        <is>
          <t>Passive or activated special ability</t>
        </is>
      </c>
      <c r="O187" t="inlineStr">
        <is>
          <t>Per card ability</t>
        </is>
      </c>
      <c r="Q187" t="inlineStr">
        <is>
          <t>While controlled / per effect</t>
        </is>
      </c>
      <c r="R187" t="inlineStr">
        <is>
          <t>May use its Power to defend Weird groups you control without spending an action (once per attack).</t>
        </is>
      </c>
      <c r="S187" t="inlineStr">
        <is>
          <t>NO</t>
        </is>
      </c>
      <c r="T187" t="inlineStr">
        <is>
          <t>1 incoming control arrow</t>
        </is>
      </c>
      <c r="U187" t="n">
        <v>1</v>
      </c>
      <c r="V187" t="inlineStr">
        <is>
          <t>N/A — INWO uses Plots instead of group income/money</t>
        </is>
      </c>
      <c r="W187" t="inlineStr">
        <is>
          <t>Standard: 1 action token (Illuminati: 1 Illuminati action); verified mechanics state no override</t>
        </is>
      </c>
      <c r="X187" t="inlineStr">
        <is>
          <t>One copy in play at a time; spare copies act as hidden agents vs. a rival's copy; a destroyed Group cannot be replayed unless a card returns it (base rule)</t>
        </is>
      </c>
      <c r="Y187" t="inlineStr">
        <is>
          <t>None beyond base rules (verified mechanics state no override)</t>
        </is>
      </c>
      <c r="Z187" t="inlineStr">
        <is>
          <t>Standard response window (verified mechanics state no override)</t>
        </is>
      </c>
      <c r="AA187" t="inlineStr">
        <is>
          <t>Specific card overrides general rules</t>
        </is>
      </c>
      <c r="AB187" t="inlineStr">
        <is>
          <t>Indexed INWO Book, Groups section</t>
        </is>
      </c>
      <c r="AC187" t="inlineStr">
        <is>
          <t>FUNCTIONALLY COMPLETE</t>
        </is>
      </c>
      <c r="AE187" t="inlineStr">
        <is>
          <t>Indexed INWO Book / historical cross-check</t>
        </is>
      </c>
      <c r="AF187" t="inlineStr">
        <is>
          <t>EXACT EDGE POSITIONS VERIFIED</t>
        </is>
      </c>
      <c r="AG187" t="inlineStr">
        <is>
          <t>Verified from supplied original-card scan: Groups/INWO - Italy.png. Triangle orientation establishes IN=TOP, OUT=RIGHT.</t>
        </is>
      </c>
      <c r="AH187" t="inlineStr">
        <is>
          <t>TOP</t>
        </is>
      </c>
      <c r="AI187" t="inlineStr">
        <is>
          <t>RIGHT</t>
        </is>
      </c>
      <c r="AJ187" t="inlineStr">
        <is>
          <t>VERIFIED</t>
        </is>
      </c>
      <c r="AK187" t="inlineStr">
        <is>
          <t>Verified from supplied original-card scan: Groups/INWO - Italy.png. Triangle orientation establishes IN=TOP, OUT=RIGHT.</t>
        </is>
      </c>
    </row>
    <row r="188" ht="34" customHeight="1" s="16">
      <c r="A188" s="20" t="inlineStr">
        <is>
          <t>Japan</t>
        </is>
      </c>
      <c r="B188" s="20" t="inlineStr">
        <is>
          <t>Group</t>
        </is>
      </c>
      <c r="C188" s="20" t="inlineStr">
        <is>
          <t>Place</t>
        </is>
      </c>
      <c r="D188" s="20" t="inlineStr">
        <is>
          <t>Common</t>
        </is>
      </c>
      <c r="E188" s="20" t="inlineStr">
        <is>
          <t>6/4</t>
        </is>
      </c>
      <c r="F188" s="20" t="inlineStr">
        <is>
          <t>8</t>
        </is>
      </c>
      <c r="G188" s="20" t="inlineStr">
        <is>
          <t>Peaceful, Government</t>
        </is>
      </c>
      <c r="H188" s="20" t="inlineStr">
        <is>
          <t>Computer, Coastal, Nation</t>
        </is>
      </c>
      <c r="I188" s="20" t="inlineStr">
        <is>
          <t>+6 direct control of Science or Computer groups.</t>
        </is>
      </c>
      <c r="J188" s="20" t="inlineStr">
        <is>
          <t>Needs rules-engine encoding</t>
        </is>
      </c>
      <c r="K188" s="20" t="inlineStr">
        <is>
          <t>High</t>
        </is>
      </c>
      <c r="L188" s="20" t="inlineStr">
        <is>
          <t>Mechanics and outgoing-arrow count checked against the printed card; described in our own words. Exact physical edge placement tracked separately.</t>
        </is>
      </c>
      <c r="M188" s="20" t="inlineStr">
        <is>
          <t>https://www.scribd.com/document/851089808/TheINWOBook</t>
        </is>
      </c>
      <c r="N188" t="inlineStr">
        <is>
          <t>Passive or activated special ability</t>
        </is>
      </c>
      <c r="O188" t="inlineStr">
        <is>
          <t>Per card ability</t>
        </is>
      </c>
      <c r="Q188" t="inlineStr">
        <is>
          <t>While controlled / per effect</t>
        </is>
      </c>
      <c r="R188" t="inlineStr">
        <is>
          <t>+6 direct control of Science or Computer groups.</t>
        </is>
      </c>
      <c r="S188" t="inlineStr">
        <is>
          <t>NO</t>
        </is>
      </c>
      <c r="T188" t="inlineStr">
        <is>
          <t>1 incoming control arrow</t>
        </is>
      </c>
      <c r="U188" t="n">
        <v>3</v>
      </c>
      <c r="V188" t="inlineStr">
        <is>
          <t>N/A — INWO uses Plots instead of group income/money</t>
        </is>
      </c>
      <c r="W188" t="inlineStr">
        <is>
          <t>Standard: 1 action token (Illuminati: 1 Illuminati action); verified mechanics state no override</t>
        </is>
      </c>
      <c r="X188" t="inlineStr">
        <is>
          <t>One copy in play at a time; spare copies act as hidden agents vs. a rival's copy; a destroyed Group cannot be replayed unless a card returns it (base rule)</t>
        </is>
      </c>
      <c r="Y188" t="inlineStr">
        <is>
          <t>None beyond base rules (verified mechanics state no override)</t>
        </is>
      </c>
      <c r="Z188" t="inlineStr">
        <is>
          <t>Standard response window (verified mechanics state no override)</t>
        </is>
      </c>
      <c r="AA188" t="inlineStr">
        <is>
          <t>Specific card overrides general rules</t>
        </is>
      </c>
      <c r="AB188" t="inlineStr">
        <is>
          <t>Indexed INWO Book, Groups section</t>
        </is>
      </c>
      <c r="AC188" t="inlineStr">
        <is>
          <t>FUNCTIONALLY COMPLETE</t>
        </is>
      </c>
      <c r="AE188" t="inlineStr">
        <is>
          <t>Indexed INWO Book / historical cross-check</t>
        </is>
      </c>
      <c r="AF188" t="inlineStr">
        <is>
          <t>EXACT EDGE POSITIONS VERIFIED</t>
        </is>
      </c>
      <c r="AG188" t="inlineStr">
        <is>
          <t>Verified from supplied original-card scan: Groups/INWO - Japan.png. Triangle orientation establishes IN=TOP, OUT=BOTTOM, LEFT, RIGHT.</t>
        </is>
      </c>
      <c r="AH188" t="inlineStr">
        <is>
          <t>TOP</t>
        </is>
      </c>
      <c r="AI188" t="inlineStr">
        <is>
          <t>BOTTOM, LEFT, RIGHT</t>
        </is>
      </c>
      <c r="AJ188" t="inlineStr">
        <is>
          <t>VERIFIED</t>
        </is>
      </c>
      <c r="AK188" t="inlineStr">
        <is>
          <t>Verified from supplied original-card scan: Groups/INWO - Japan.png. Triangle orientation establishes IN=TOP, OUT=BOTTOM, LEFT, RIGHT.</t>
        </is>
      </c>
    </row>
    <row r="189" ht="34" customHeight="1" s="16">
      <c r="A189" s="20" t="inlineStr">
        <is>
          <t>Las Vegas</t>
        </is>
      </c>
      <c r="B189" s="20" t="inlineStr">
        <is>
          <t>Group</t>
        </is>
      </c>
      <c r="C189" s="20" t="inlineStr">
        <is>
          <t>Place</t>
        </is>
      </c>
      <c r="D189" s="20" t="inlineStr">
        <is>
          <t>Common</t>
        </is>
      </c>
      <c r="E189" s="20" t="inlineStr">
        <is>
          <t>2</t>
        </is>
      </c>
      <c r="F189" s="20" t="inlineStr">
        <is>
          <t>1</t>
        </is>
      </c>
      <c r="G189" s="20" t="inlineStr">
        <is>
          <t>Corporate</t>
        </is>
      </c>
      <c r="H189" s="20" t="str"/>
      <c r="I189" s="20" t="inlineStr">
        <is>
          <t>As an action, wager 1-3 Plots against a rival and resolve the special 2d6 card-transfer gamble.</t>
        </is>
      </c>
      <c r="J189" s="20" t="inlineStr">
        <is>
          <t>Needs rules-engine encoding</t>
        </is>
      </c>
      <c r="K189" s="20" t="inlineStr">
        <is>
          <t>High</t>
        </is>
      </c>
      <c r="L189" s="20" t="inlineStr">
        <is>
          <t>Mechanics and outgoing-arrow count checked against the printed card; described in our own words. Exact physical edge placement tracked separately.</t>
        </is>
      </c>
      <c r="M189" s="20" t="inlineStr">
        <is>
          <t>https://www.scribd.com/document/851089808/TheINWOBook</t>
        </is>
      </c>
      <c r="N189" t="inlineStr">
        <is>
          <t>Passive or activated special ability</t>
        </is>
      </c>
      <c r="O189" t="inlineStr">
        <is>
          <t>Per card ability</t>
        </is>
      </c>
      <c r="Q189" t="inlineStr">
        <is>
          <t>While controlled / per effect</t>
        </is>
      </c>
      <c r="R189" t="inlineStr">
        <is>
          <t>As an action, wager 1-3 Plots against a rival and resolve the special 2d6 card-transfer gamble.</t>
        </is>
      </c>
      <c r="S189" t="inlineStr">
        <is>
          <t>NO</t>
        </is>
      </c>
      <c r="T189" t="inlineStr">
        <is>
          <t>1 incoming control arrow</t>
        </is>
      </c>
      <c r="U189" t="n">
        <v>1</v>
      </c>
      <c r="V189" t="inlineStr">
        <is>
          <t>N/A — INWO uses Plots instead of group income/money</t>
        </is>
      </c>
      <c r="W189" t="inlineStr">
        <is>
          <t>Standard: 1 action token (Illuminati: 1 Illuminati action); verified mechanics state no override</t>
        </is>
      </c>
      <c r="X189" t="inlineStr">
        <is>
          <t>One copy in play at a time; spare copies act as hidden agents vs. a rival's copy; a destroyed Group cannot be replayed unless a card returns it (base rule)</t>
        </is>
      </c>
      <c r="Y189" t="inlineStr">
        <is>
          <t>None beyond base rules (verified mechanics state no override)</t>
        </is>
      </c>
      <c r="Z189" t="inlineStr">
        <is>
          <t>Standard response window (verified mechanics state no override)</t>
        </is>
      </c>
      <c r="AA189" t="inlineStr">
        <is>
          <t>Specific card overrides general rules</t>
        </is>
      </c>
      <c r="AB189" t="inlineStr">
        <is>
          <t>Indexed INWO Book, Groups section</t>
        </is>
      </c>
      <c r="AC189" t="inlineStr">
        <is>
          <t>FUNCTIONALLY COMPLETE</t>
        </is>
      </c>
      <c r="AE189" t="inlineStr">
        <is>
          <t>Indexed INWO Book / historical cross-check</t>
        </is>
      </c>
      <c r="AF189" t="inlineStr">
        <is>
          <t>EXACT EDGE POSITIONS VERIFIED</t>
        </is>
      </c>
      <c r="AG189" t="inlineStr">
        <is>
          <t>Verified from supplied original-card scan: Groups/INWO - Las Vegas.png. Triangle orientation establishes IN=TOP, OUT=LEFT.</t>
        </is>
      </c>
      <c r="AH189" t="inlineStr">
        <is>
          <t>TOP</t>
        </is>
      </c>
      <c r="AI189" t="inlineStr">
        <is>
          <t>LEFT</t>
        </is>
      </c>
      <c r="AJ189" t="inlineStr">
        <is>
          <t>VERIFIED</t>
        </is>
      </c>
      <c r="AK189" t="inlineStr">
        <is>
          <t>Verified from supplied original-card scan: Groups/INWO - Las Vegas.png. Triangle orientation establishes IN=TOP, OUT=LEFT.</t>
        </is>
      </c>
    </row>
    <row r="190" ht="34" customHeight="1" s="16">
      <c r="A190" s="20" t="inlineStr">
        <is>
          <t>Moonbase</t>
        </is>
      </c>
      <c r="B190" s="20" t="inlineStr">
        <is>
          <t>Group</t>
        </is>
      </c>
      <c r="C190" s="20" t="inlineStr">
        <is>
          <t>Place</t>
        </is>
      </c>
      <c r="D190" s="20" t="inlineStr">
        <is>
          <t>Common</t>
        </is>
      </c>
      <c r="E190" s="20" t="inlineStr">
        <is>
          <t>3</t>
        </is>
      </c>
      <c r="F190" s="20" t="inlineStr">
        <is>
          <t>6</t>
        </is>
      </c>
      <c r="G190" s="20" t="inlineStr">
        <is>
          <t>None</t>
        </is>
      </c>
      <c r="H190" s="20" t="inlineStr">
        <is>
          <t>Space, Science, Computer</t>
        </is>
      </c>
      <c r="I190" s="20" t="inlineStr">
        <is>
          <t>No Disaster affects it except Earthquake and Meteor Strike; +4 on any control or destruction attempt against a Space group; linked Personalities get +6 against Assassination and die if Moonbase is destroyed.</t>
        </is>
      </c>
      <c r="J190" s="20" t="inlineStr">
        <is>
          <t>Needs rules-engine encoding</t>
        </is>
      </c>
      <c r="K190" s="20" t="inlineStr">
        <is>
          <t>High</t>
        </is>
      </c>
      <c r="L190" s="20" t="inlineStr">
        <is>
          <t>Mechanics and outgoing-arrow count checked against the printed card; described in our own words. Exact physical edge placement tracked separately.</t>
        </is>
      </c>
      <c r="M190" s="20" t="inlineStr">
        <is>
          <t>https://www.scribd.com/document/851089808/TheINWOBook</t>
        </is>
      </c>
      <c r="N190" t="inlineStr">
        <is>
          <t>Passive or activated special ability</t>
        </is>
      </c>
      <c r="O190" t="inlineStr">
        <is>
          <t>Per card ability</t>
        </is>
      </c>
      <c r="Q190" t="inlineStr">
        <is>
          <t>While controlled / per effect</t>
        </is>
      </c>
      <c r="R190" t="inlineStr">
        <is>
          <t>No Disaster affects it except Earthquake and Meteor Strike; +4 on any control or destruction attempt against a Space group; linked Personalities get +6 against Assassination and die if Moonbase is destroyed.</t>
        </is>
      </c>
      <c r="S190" t="inlineStr">
        <is>
          <t>NO</t>
        </is>
      </c>
      <c r="T190" t="inlineStr">
        <is>
          <t>1 incoming control arrow</t>
        </is>
      </c>
      <c r="U190" t="n">
        <v>1</v>
      </c>
      <c r="V190" t="inlineStr">
        <is>
          <t>N/A — INWO uses Plots instead of group income/money</t>
        </is>
      </c>
      <c r="W190" t="inlineStr">
        <is>
          <t>Standard: 1 action token (Illuminati: 1 Illuminati action); verified mechanics state no override</t>
        </is>
      </c>
      <c r="X190" t="inlineStr">
        <is>
          <t>One copy in play at a time; spare copies act as hidden agents vs. a rival's copy; a destroyed Group cannot be replayed unless a card returns it (base rule)</t>
        </is>
      </c>
      <c r="Y190" t="inlineStr">
        <is>
          <t>None beyond base rules (verified mechanics state no override)</t>
        </is>
      </c>
      <c r="Z190" t="inlineStr">
        <is>
          <t>Standard response window (verified mechanics state no override)</t>
        </is>
      </c>
      <c r="AA190" t="inlineStr">
        <is>
          <t>Specific card overrides general rules</t>
        </is>
      </c>
      <c r="AB190" t="inlineStr">
        <is>
          <t>Indexed INWO Book, Groups section</t>
        </is>
      </c>
      <c r="AC190" t="inlineStr">
        <is>
          <t>FUNCTIONALLY COMPLETE</t>
        </is>
      </c>
      <c r="AE190" t="inlineStr">
        <is>
          <t>Indexed INWO Book / historical cross-check</t>
        </is>
      </c>
      <c r="AF190" t="inlineStr">
        <is>
          <t>EXACT EDGE POSITIONS VERIFIED</t>
        </is>
      </c>
      <c r="AG190" t="inlineStr">
        <is>
          <t>Verified from supplied original-card scan: Groups/INWO - Moonbase.png. Triangle orientation establishes IN=TOP, OUT=LEFT.</t>
        </is>
      </c>
      <c r="AH190" t="inlineStr">
        <is>
          <t>TOP</t>
        </is>
      </c>
      <c r="AI190" t="inlineStr">
        <is>
          <t>LEFT</t>
        </is>
      </c>
      <c r="AJ190" t="inlineStr">
        <is>
          <t>VERIFIED</t>
        </is>
      </c>
      <c r="AK190" t="inlineStr">
        <is>
          <t>Verified from supplied original-card scan: Groups/INWO - Moonbase.png. Triangle orientation establishes IN=TOP, OUT=LEFT.</t>
        </is>
      </c>
    </row>
    <row r="191" ht="34" customHeight="1" s="16">
      <c r="A191" s="20" t="inlineStr">
        <is>
          <t>New York</t>
        </is>
      </c>
      <c r="B191" s="20" t="inlineStr">
        <is>
          <t>Group</t>
        </is>
      </c>
      <c r="C191" s="20" t="inlineStr">
        <is>
          <t>Place</t>
        </is>
      </c>
      <c r="D191" s="20" t="inlineStr">
        <is>
          <t>Uncommon</t>
        </is>
      </c>
      <c r="E191" s="20" t="inlineStr">
        <is>
          <t>7</t>
        </is>
      </c>
      <c r="F191" s="20" t="inlineStr">
        <is>
          <t>8</t>
        </is>
      </c>
      <c r="G191" s="20" t="inlineStr">
        <is>
          <t>Violent, Criminal, Government</t>
        </is>
      </c>
      <c r="H191" s="20" t="inlineStr">
        <is>
          <t>Coastal</t>
        </is>
      </c>
      <c r="I191" s="20" t="inlineStr">
        <is>
          <t>Each other Criminal group you control gets +1 Power.</t>
        </is>
      </c>
      <c r="J191" s="20" t="inlineStr">
        <is>
          <t>Needs rules-engine encoding</t>
        </is>
      </c>
      <c r="K191" s="20" t="inlineStr">
        <is>
          <t>High</t>
        </is>
      </c>
      <c r="L191" s="20" t="inlineStr">
        <is>
          <t>Mechanics and outgoing-arrow count checked against the printed card; described in our own words. Exact physical edge placement tracked separately.</t>
        </is>
      </c>
      <c r="M191" s="20" t="inlineStr">
        <is>
          <t>https://www.scribd.com/document/851089808/TheINWOBook</t>
        </is>
      </c>
      <c r="N191" t="inlineStr">
        <is>
          <t>Passive or activated special ability</t>
        </is>
      </c>
      <c r="O191" t="inlineStr">
        <is>
          <t>Per card ability</t>
        </is>
      </c>
      <c r="Q191" t="inlineStr">
        <is>
          <t>While controlled / per effect</t>
        </is>
      </c>
      <c r="R191" t="inlineStr">
        <is>
          <t>Each other Criminal group you control gets +1 Power.</t>
        </is>
      </c>
      <c r="S191" t="inlineStr">
        <is>
          <t>NO</t>
        </is>
      </c>
      <c r="T191" t="inlineStr">
        <is>
          <t>1 incoming control arrow</t>
        </is>
      </c>
      <c r="U191" t="n">
        <v>3</v>
      </c>
      <c r="V191" t="inlineStr">
        <is>
          <t>N/A — INWO uses Plots instead of group income/money</t>
        </is>
      </c>
      <c r="W191" t="inlineStr">
        <is>
          <t>Standard: 1 action token (Illuminati: 1 Illuminati action); verified mechanics state no override</t>
        </is>
      </c>
      <c r="X191" t="inlineStr">
        <is>
          <t>One copy in play at a time; spare copies act as hidden agents vs. a rival's copy; a destroyed Group cannot be replayed unless a card returns it (base rule)</t>
        </is>
      </c>
      <c r="Y191" t="inlineStr">
        <is>
          <t>None beyond base rules (verified mechanics state no override)</t>
        </is>
      </c>
      <c r="Z191" t="inlineStr">
        <is>
          <t>Standard response window (verified mechanics state no override)</t>
        </is>
      </c>
      <c r="AA191" t="inlineStr">
        <is>
          <t>Specific card overrides general rules</t>
        </is>
      </c>
      <c r="AB191" t="inlineStr">
        <is>
          <t>Indexed INWO Book, Groups section</t>
        </is>
      </c>
      <c r="AC191" t="inlineStr">
        <is>
          <t>FUNCTIONALLY COMPLETE</t>
        </is>
      </c>
      <c r="AE191" t="inlineStr">
        <is>
          <t>Indexed INWO Book / historical cross-check</t>
        </is>
      </c>
      <c r="AF191" t="inlineStr">
        <is>
          <t>EXACT EDGE POSITIONS VERIFIED</t>
        </is>
      </c>
      <c r="AG191" t="inlineStr">
        <is>
          <t>Verified from supplied original-card scan: Groups/INWO - New York.png. Triangle orientation establishes IN=BOTTOM, OUT=TOP, LEFT, RIGHT.</t>
        </is>
      </c>
      <c r="AH191" t="inlineStr">
        <is>
          <t>BOTTOM</t>
        </is>
      </c>
      <c r="AI191" t="inlineStr">
        <is>
          <t>TOP, LEFT, RIGHT</t>
        </is>
      </c>
      <c r="AJ191" t="inlineStr">
        <is>
          <t>VERIFIED</t>
        </is>
      </c>
      <c r="AK191" t="inlineStr">
        <is>
          <t>Verified from supplied original-card scan: Groups/INWO - New York.png. Triangle orientation establishes IN=BOTTOM, OUT=TOP, LEFT, RIGHT.</t>
        </is>
      </c>
    </row>
    <row r="192" ht="34" customHeight="1" s="16">
      <c r="A192" s="20" t="inlineStr">
        <is>
          <t>Orbit One</t>
        </is>
      </c>
      <c r="B192" s="20" t="inlineStr">
        <is>
          <t>Group</t>
        </is>
      </c>
      <c r="C192" s="20" t="inlineStr">
        <is>
          <t>Place</t>
        </is>
      </c>
      <c r="D192" s="20" t="inlineStr">
        <is>
          <t>Uncommon</t>
        </is>
      </c>
      <c r="E192" s="20" t="inlineStr">
        <is>
          <t>2</t>
        </is>
      </c>
      <c r="F192" s="20" t="inlineStr">
        <is>
          <t>5</t>
        </is>
      </c>
      <c r="G192" s="20" t="inlineStr">
        <is>
          <t>None</t>
        </is>
      </c>
      <c r="H192" s="20" t="inlineStr">
        <is>
          <t>Space, Science, Computer</t>
        </is>
      </c>
      <c r="I192" s="20" t="inlineStr">
        <is>
          <t>Each Science puppet gives you one additional Plot draw per turn; only specified nuclear/meteor Disasters may affect it. [Official errata: May be affected by Nuclear Disaster but not Earthquake.]</t>
        </is>
      </c>
      <c r="J192" s="20" t="inlineStr">
        <is>
          <t>Needs rules-engine encoding</t>
        </is>
      </c>
      <c r="K192" s="20" t="inlineStr">
        <is>
          <t>High</t>
        </is>
      </c>
      <c r="L192" s="20" t="inlineStr">
        <is>
          <t>Mechanics and outgoing-arrow count checked against the printed card; described in our own words. Exact physical edge placement tracked separately.</t>
        </is>
      </c>
      <c r="M192" s="20" t="inlineStr">
        <is>
          <t>https://www.scribd.com/document/851089808/TheINWOBook</t>
        </is>
      </c>
      <c r="N192" t="inlineStr">
        <is>
          <t>Passive or activated special ability</t>
        </is>
      </c>
      <c r="O192" t="inlineStr">
        <is>
          <t>Per card ability</t>
        </is>
      </c>
      <c r="Q192" t="inlineStr">
        <is>
          <t>While controlled / per effect</t>
        </is>
      </c>
      <c r="R192" t="inlineStr">
        <is>
          <t>Each Science puppet gives you one additional Plot draw per turn; only specified nuclear/meteor Disasters may affect it. [Official errata: May be affected by Nuclear Disaster but not Earthquake.]</t>
        </is>
      </c>
      <c r="S192" t="inlineStr">
        <is>
          <t>NO</t>
        </is>
      </c>
      <c r="T192" t="inlineStr">
        <is>
          <t>1 incoming control arrow</t>
        </is>
      </c>
      <c r="U192" t="n">
        <v>3</v>
      </c>
      <c r="V192" t="inlineStr">
        <is>
          <t>N/A — INWO uses Plots instead of group income/money</t>
        </is>
      </c>
      <c r="W192" t="inlineStr">
        <is>
          <t>Standard: 1 action token (Illuminati: 1 Illuminati action); verified mechanics state no override</t>
        </is>
      </c>
      <c r="X192" t="inlineStr">
        <is>
          <t>One copy in play at a time; spare copies act as hidden agents vs. a rival's copy; a destroyed Group cannot be replayed unless a card returns it (base rule)</t>
        </is>
      </c>
      <c r="Y192" t="inlineStr">
        <is>
          <t>None beyond base rules (verified mechanics state no override)</t>
        </is>
      </c>
      <c r="Z192" t="inlineStr">
        <is>
          <t>Standard response window (verified mechanics state no override)</t>
        </is>
      </c>
      <c r="AA192" t="inlineStr">
        <is>
          <t>Specific card overrides general rules</t>
        </is>
      </c>
      <c r="AB192" t="inlineStr">
        <is>
          <t>Indexed INWO Book, Groups section</t>
        </is>
      </c>
      <c r="AC192" t="inlineStr">
        <is>
          <t>FUNCTIONALLY COMPLETE</t>
        </is>
      </c>
      <c r="AE192" t="inlineStr">
        <is>
          <t>Indexed INWO Book / historical cross-check</t>
        </is>
      </c>
      <c r="AF192" t="inlineStr">
        <is>
          <t>EXACT EDGE POSITIONS VERIFIED</t>
        </is>
      </c>
      <c r="AG192" t="inlineStr">
        <is>
          <t>Verified from supplied original-card scan: Groups/INWO - Orbit One.png. Triangle orientation establishes IN=BOTTOM, OUT=TOP, LEFT, RIGHT.</t>
        </is>
      </c>
      <c r="AH192" t="inlineStr">
        <is>
          <t>BOTTOM</t>
        </is>
      </c>
      <c r="AI192" t="inlineStr">
        <is>
          <t>TOP, LEFT, RIGHT</t>
        </is>
      </c>
      <c r="AJ192" t="inlineStr">
        <is>
          <t>VERIFIED</t>
        </is>
      </c>
      <c r="AK192" t="inlineStr">
        <is>
          <t>Verified from supplied original-card scan: Groups/INWO - Orbit One.png. Triangle orientation establishes IN=BOTTOM, OUT=TOP, LEFT, RIGHT.</t>
        </is>
      </c>
    </row>
    <row r="193" ht="34" customHeight="1" s="16">
      <c r="A193" s="20" t="inlineStr">
        <is>
          <t>Pentagon</t>
        </is>
      </c>
      <c r="B193" s="20" t="inlineStr">
        <is>
          <t>Group</t>
        </is>
      </c>
      <c r="C193" s="20" t="inlineStr">
        <is>
          <t>Place</t>
        </is>
      </c>
      <c r="D193" s="20" t="inlineStr">
        <is>
          <t>Common</t>
        </is>
      </c>
      <c r="E193" s="20" t="inlineStr">
        <is>
          <t>6</t>
        </is>
      </c>
      <c r="F193" s="20" t="inlineStr">
        <is>
          <t>6</t>
        </is>
      </c>
      <c r="G193" s="20" t="inlineStr">
        <is>
          <t>Straight, Violent, Government</t>
        </is>
      </c>
      <c r="H193" s="20" t="str"/>
      <c r="I193" s="20" t="inlineStr">
        <is>
          <t>Each Corporate puppet gives you one additional Plot draw per turn.</t>
        </is>
      </c>
      <c r="J193" s="20" t="inlineStr">
        <is>
          <t>Needs rules-engine encoding</t>
        </is>
      </c>
      <c r="K193" s="20" t="inlineStr">
        <is>
          <t>High</t>
        </is>
      </c>
      <c r="L193" s="20" t="inlineStr">
        <is>
          <t>Mechanics and outgoing-arrow count checked against the printed card; described in our own words. Exact physical edge placement tracked separately.</t>
        </is>
      </c>
      <c r="M193" s="20" t="inlineStr">
        <is>
          <t>https://www.scribd.com/document/851089808/TheINWOBook</t>
        </is>
      </c>
      <c r="N193" t="inlineStr">
        <is>
          <t>Passive or activated special ability</t>
        </is>
      </c>
      <c r="O193" t="inlineStr">
        <is>
          <t>Per card ability</t>
        </is>
      </c>
      <c r="Q193" t="inlineStr">
        <is>
          <t>While controlled / per effect</t>
        </is>
      </c>
      <c r="R193" t="inlineStr">
        <is>
          <t>Each Corporate puppet gives you one additional Plot draw per turn.</t>
        </is>
      </c>
      <c r="S193" t="inlineStr">
        <is>
          <t>NO</t>
        </is>
      </c>
      <c r="T193" t="inlineStr">
        <is>
          <t>1 incoming control arrow</t>
        </is>
      </c>
      <c r="U193" t="n">
        <v>3</v>
      </c>
      <c r="V193" t="inlineStr">
        <is>
          <t>N/A — INWO uses Plots instead of group income/money</t>
        </is>
      </c>
      <c r="W193" t="inlineStr">
        <is>
          <t>Standard: 1 action token (Illuminati: 1 Illuminati action); verified mechanics state no override</t>
        </is>
      </c>
      <c r="X193" t="inlineStr">
        <is>
          <t>One copy in play at a time; spare copies act as hidden agents vs. a rival's copy; a destroyed Group cannot be replayed unless a card returns it (base rule)</t>
        </is>
      </c>
      <c r="Y193" t="inlineStr">
        <is>
          <t>None beyond base rules (verified mechanics state no override)</t>
        </is>
      </c>
      <c r="Z193" t="inlineStr">
        <is>
          <t>Standard response window (verified mechanics state no override)</t>
        </is>
      </c>
      <c r="AA193" t="inlineStr">
        <is>
          <t>Specific card overrides general rules</t>
        </is>
      </c>
      <c r="AB193" t="inlineStr">
        <is>
          <t>Indexed INWO Book, Groups section</t>
        </is>
      </c>
      <c r="AC193" t="inlineStr">
        <is>
          <t>FUNCTIONALLY COMPLETE</t>
        </is>
      </c>
      <c r="AE193" t="inlineStr">
        <is>
          <t>Indexed INWO Book / historical cross-check</t>
        </is>
      </c>
      <c r="AF193" t="inlineStr">
        <is>
          <t>EXACT EDGE POSITIONS VERIFIED</t>
        </is>
      </c>
      <c r="AG193" t="inlineStr">
        <is>
          <t>Verified from supplied original-card scan: Groups/INWO - Pentagon.png. Triangle orientation establishes IN=TOP, OUT=BOTTOM, LEFT, RIGHT.</t>
        </is>
      </c>
      <c r="AH193" t="inlineStr">
        <is>
          <t>TOP</t>
        </is>
      </c>
      <c r="AI193" t="inlineStr">
        <is>
          <t>BOTTOM, LEFT, RIGHT</t>
        </is>
      </c>
      <c r="AJ193" t="inlineStr">
        <is>
          <t>VERIFIED</t>
        </is>
      </c>
      <c r="AK193" t="inlineStr">
        <is>
          <t>Verified from supplied original-card scan: Groups/INWO - Pentagon.png. Triangle orientation establishes IN=TOP, OUT=BOTTOM, LEFT, RIGHT.</t>
        </is>
      </c>
    </row>
    <row r="194" ht="34" customHeight="1" s="16">
      <c r="A194" s="20" t="inlineStr">
        <is>
          <t>Russia</t>
        </is>
      </c>
      <c r="B194" s="20" t="inlineStr">
        <is>
          <t>Group</t>
        </is>
      </c>
      <c r="C194" s="20" t="inlineStr">
        <is>
          <t>Place</t>
        </is>
      </c>
      <c r="D194" s="20" t="inlineStr">
        <is>
          <t>Common</t>
        </is>
      </c>
      <c r="E194" s="20" t="inlineStr">
        <is>
          <t>4</t>
        </is>
      </c>
      <c r="F194" s="20" t="inlineStr">
        <is>
          <t>5</t>
        </is>
      </c>
      <c r="G194" s="20" t="inlineStr">
        <is>
          <t>Violent, Government</t>
        </is>
      </c>
      <c r="H194" s="20" t="inlineStr">
        <is>
          <t>Huge, Coastal, Nation</t>
        </is>
      </c>
      <c r="I194" s="20" t="inlineStr">
        <is>
          <t>+4 direct control of Communist groups and +2 any control/destruction against them; Communist groups get +4 direct control of Russia.</t>
        </is>
      </c>
      <c r="J194" s="20" t="inlineStr">
        <is>
          <t>Needs rules-engine encoding</t>
        </is>
      </c>
      <c r="K194" s="20" t="inlineStr">
        <is>
          <t>High</t>
        </is>
      </c>
      <c r="L194" s="20" t="inlineStr">
        <is>
          <t>Mechanics and outgoing-arrow count checked against the printed card; described in our own words. Exact physical edge placement tracked separately.</t>
        </is>
      </c>
      <c r="M194" s="20" t="inlineStr">
        <is>
          <t>https://www.scribd.com/document/851089808/TheINWOBook</t>
        </is>
      </c>
      <c r="N194" t="inlineStr">
        <is>
          <t>Passive or activated special ability</t>
        </is>
      </c>
      <c r="O194" t="inlineStr">
        <is>
          <t>Per card ability</t>
        </is>
      </c>
      <c r="Q194" t="inlineStr">
        <is>
          <t>While controlled / per effect</t>
        </is>
      </c>
      <c r="R194" t="inlineStr">
        <is>
          <t>+4 direct control of Communist groups and +2 any control/destruction against them; Communist groups get +4 direct control of Russia.</t>
        </is>
      </c>
      <c r="S194" t="inlineStr">
        <is>
          <t>NO</t>
        </is>
      </c>
      <c r="T194" t="inlineStr">
        <is>
          <t>1 incoming control arrow</t>
        </is>
      </c>
      <c r="U194" t="n">
        <v>3</v>
      </c>
      <c r="V194" t="inlineStr">
        <is>
          <t>N/A — INWO uses Plots instead of group income/money</t>
        </is>
      </c>
      <c r="W194" t="inlineStr">
        <is>
          <t>Standard: 1 action token (Illuminati: 1 Illuminati action); verified mechanics state no override</t>
        </is>
      </c>
      <c r="X194" t="inlineStr">
        <is>
          <t>One copy in play at a time; spare copies act as hidden agents vs. a rival's copy; a destroyed Group cannot be replayed unless a card returns it (base rule)</t>
        </is>
      </c>
      <c r="Y194" t="inlineStr">
        <is>
          <t>None beyond base rules (verified mechanics state no override)</t>
        </is>
      </c>
      <c r="Z194" t="inlineStr">
        <is>
          <t>Standard response window (verified mechanics state no override)</t>
        </is>
      </c>
      <c r="AA194" t="inlineStr">
        <is>
          <t>Specific card overrides general rules</t>
        </is>
      </c>
      <c r="AB194" t="inlineStr">
        <is>
          <t>Indexed INWO Book, Groups section</t>
        </is>
      </c>
      <c r="AC194" t="inlineStr">
        <is>
          <t>FUNCTIONALLY COMPLETE</t>
        </is>
      </c>
      <c r="AE194" t="inlineStr">
        <is>
          <t>Indexed INWO Book / historical cross-check</t>
        </is>
      </c>
      <c r="AF194" t="inlineStr">
        <is>
          <t>EXACT EDGE POSITIONS VERIFIED</t>
        </is>
      </c>
      <c r="AG194" t="inlineStr">
        <is>
          <t>Verified from supplied original-card scan: Groups/INWO - Russia.png. Triangle orientation establishes IN=BOTTOM, OUT=TOP, LEFT, RIGHT.</t>
        </is>
      </c>
      <c r="AH194" t="inlineStr">
        <is>
          <t>BOTTOM</t>
        </is>
      </c>
      <c r="AI194" t="inlineStr">
        <is>
          <t>TOP, LEFT, RIGHT</t>
        </is>
      </c>
      <c r="AJ194" t="inlineStr">
        <is>
          <t>VERIFIED</t>
        </is>
      </c>
      <c r="AK194" t="inlineStr">
        <is>
          <t>Verified from supplied original-card scan: Groups/INWO - Russia.png. Triangle orientation establishes IN=BOTTOM, OUT=TOP, LEFT, RIGHT.</t>
        </is>
      </c>
    </row>
    <row r="195" ht="34" customHeight="1" s="16">
      <c r="A195" s="20" t="inlineStr">
        <is>
          <t>Silicon Valley</t>
        </is>
      </c>
      <c r="B195" s="20" t="inlineStr">
        <is>
          <t>Group</t>
        </is>
      </c>
      <c r="C195" s="20" t="inlineStr">
        <is>
          <t>Place</t>
        </is>
      </c>
      <c r="D195" s="20" t="inlineStr">
        <is>
          <t>Uncommon</t>
        </is>
      </c>
      <c r="E195" s="20" t="inlineStr">
        <is>
          <t>3/2</t>
        </is>
      </c>
      <c r="F195" s="20" t="inlineStr">
        <is>
          <t>3</t>
        </is>
      </c>
      <c r="G195" s="20" t="inlineStr">
        <is>
          <t>None</t>
        </is>
      </c>
      <c r="H195" s="20" t="inlineStr">
        <is>
          <t>Computer, Science, Coastal</t>
        </is>
      </c>
      <c r="I195" s="20" t="inlineStr">
        <is>
          <t>+4 on any control attempt against a Computer group; as an action on your turn, draw an extra Plot.</t>
        </is>
      </c>
      <c r="J195" s="20" t="inlineStr">
        <is>
          <t>Needs rules-engine encoding</t>
        </is>
      </c>
      <c r="K195" s="20" t="inlineStr">
        <is>
          <t>High</t>
        </is>
      </c>
      <c r="L195" s="20" t="inlineStr">
        <is>
          <t>Mechanics and outgoing-arrow count checked against the printed card; described in our own words. Exact physical edge placement tracked separately.</t>
        </is>
      </c>
      <c r="M195" s="20" t="inlineStr">
        <is>
          <t>https://www.scribd.com/document/851089808/TheINWOBook</t>
        </is>
      </c>
      <c r="N195" t="inlineStr">
        <is>
          <t>Passive or activated special ability</t>
        </is>
      </c>
      <c r="O195" t="inlineStr">
        <is>
          <t>Per card ability</t>
        </is>
      </c>
      <c r="Q195" t="inlineStr">
        <is>
          <t>While controlled / per effect</t>
        </is>
      </c>
      <c r="R195" t="inlineStr">
        <is>
          <t>+4 on any control attempt against a Computer group; as an action on your turn, draw an extra Plot.</t>
        </is>
      </c>
      <c r="S195" t="inlineStr">
        <is>
          <t>NO</t>
        </is>
      </c>
      <c r="T195" t="inlineStr">
        <is>
          <t>1 incoming control arrow</t>
        </is>
      </c>
      <c r="U195" t="n">
        <v>2</v>
      </c>
      <c r="V195" t="inlineStr">
        <is>
          <t>N/A — INWO uses Plots instead of group income/money</t>
        </is>
      </c>
      <c r="W195" t="inlineStr">
        <is>
          <t>Standard: 1 action token (Illuminati: 1 Illuminati action); verified mechanics state no override</t>
        </is>
      </c>
      <c r="X195" t="inlineStr">
        <is>
          <t>One copy in play at a time; spare copies act as hidden agents vs. a rival's copy; a destroyed Group cannot be replayed unless a card returns it (base rule)</t>
        </is>
      </c>
      <c r="Y195" t="inlineStr">
        <is>
          <t>None beyond base rules (verified mechanics state no override)</t>
        </is>
      </c>
      <c r="Z195" t="inlineStr">
        <is>
          <t>Standard response window (verified mechanics state no override)</t>
        </is>
      </c>
      <c r="AA195" t="inlineStr">
        <is>
          <t>Specific card overrides general rules</t>
        </is>
      </c>
      <c r="AB195" t="inlineStr">
        <is>
          <t>Indexed INWO Book, Groups section</t>
        </is>
      </c>
      <c r="AC195" t="inlineStr">
        <is>
          <t>FUNCTIONALLY COMPLETE</t>
        </is>
      </c>
      <c r="AE195" t="inlineStr">
        <is>
          <t>Indexed INWO Book / historical cross-check</t>
        </is>
      </c>
      <c r="AF195" t="inlineStr">
        <is>
          <t>EXACT EDGE POSITIONS VERIFIED</t>
        </is>
      </c>
      <c r="AG195" t="inlineStr">
        <is>
          <t>Verified from supplied original-card scan: Groups/INWO - Silicon Valley.png. Triangle orientation establishes IN=BOTTOM, OUT=TOP, RIGHT.</t>
        </is>
      </c>
      <c r="AH195" t="inlineStr">
        <is>
          <t>BOTTOM</t>
        </is>
      </c>
      <c r="AI195" t="inlineStr">
        <is>
          <t>TOP, RIGHT</t>
        </is>
      </c>
      <c r="AJ195" t="inlineStr">
        <is>
          <t>VERIFIED</t>
        </is>
      </c>
      <c r="AK195" t="inlineStr">
        <is>
          <t>Verified from supplied original-card scan: Groups/INWO - Silicon Valley.png. Triangle orientation establishes IN=BOTTOM, OUT=TOP, RIGHT.</t>
        </is>
      </c>
    </row>
    <row r="196" ht="34" customHeight="1" s="16">
      <c r="A196" s="20" t="inlineStr">
        <is>
          <t>Stonehenge</t>
        </is>
      </c>
      <c r="B196" s="20" t="inlineStr">
        <is>
          <t>Group</t>
        </is>
      </c>
      <c r="C196" s="20" t="inlineStr">
        <is>
          <t>Place</t>
        </is>
      </c>
      <c r="D196" s="20" t="inlineStr">
        <is>
          <t>Common</t>
        </is>
      </c>
      <c r="E196" s="20" t="inlineStr">
        <is>
          <t>3/3</t>
        </is>
      </c>
      <c r="F196" s="20" t="inlineStr">
        <is>
          <t>4</t>
        </is>
      </c>
      <c r="G196" s="20" t="inlineStr">
        <is>
          <t>None</t>
        </is>
      </c>
      <c r="H196" s="20" t="inlineStr">
        <is>
          <t>Magic</t>
        </is>
      </c>
      <c r="I196" s="20" t="inlineStr">
        <is>
          <t>While Stonehenge is in your Power Structure, you are immune to Magic: no Magic Group may attack you or aid an attack on you, and rivals may not use Magic Plots or Magic Resources against you.</t>
        </is>
      </c>
      <c r="J196" s="20" t="inlineStr">
        <is>
          <t>Needs rules-engine encoding</t>
        </is>
      </c>
      <c r="K196" s="20" t="inlineStr">
        <is>
          <t>High</t>
        </is>
      </c>
      <c r="L196" s="20" t="inlineStr">
        <is>
          <t>Mechanics and outgoing-arrow count checked against the printed card; described in our own words. Exact physical edge placement tracked separately.</t>
        </is>
      </c>
      <c r="M196" s="20" t="inlineStr">
        <is>
          <t>https://www.scribd.com/document/851089808/TheINWOBook</t>
        </is>
      </c>
      <c r="N196" t="inlineStr">
        <is>
          <t>Passive or activated special ability</t>
        </is>
      </c>
      <c r="O196" t="inlineStr">
        <is>
          <t>Per card ability</t>
        </is>
      </c>
      <c r="Q196" t="inlineStr">
        <is>
          <t>While controlled / per effect</t>
        </is>
      </c>
      <c r="R196" t="inlineStr">
        <is>
          <t>While controlled, you are immune to effects from Magic Groups, Plots, and Resources.</t>
        </is>
      </c>
      <c r="S196" t="inlineStr">
        <is>
          <t>NO</t>
        </is>
      </c>
      <c r="T196" t="inlineStr">
        <is>
          <t>1 incoming control arrow</t>
        </is>
      </c>
      <c r="U196" t="n">
        <v>0</v>
      </c>
      <c r="V196" t="inlineStr">
        <is>
          <t>N/A — INWO uses Plots instead of group income/money</t>
        </is>
      </c>
      <c r="W196" t="inlineStr">
        <is>
          <t>Standard: 1 action token (Illuminati: 1 Illuminati action); verified mechanics state no override</t>
        </is>
      </c>
      <c r="X196" t="inlineStr">
        <is>
          <t>One copy in play at a time; spare copies act as hidden agents vs. a rival's copy; a destroyed Group cannot be replayed unless a card returns it (base rule)</t>
        </is>
      </c>
      <c r="Y196" t="inlineStr">
        <is>
          <t>None beyond base rules (verified mechanics state no override)</t>
        </is>
      </c>
      <c r="Z196" t="inlineStr">
        <is>
          <t>Standard response window (verified mechanics state no override)</t>
        </is>
      </c>
      <c r="AA196" t="inlineStr">
        <is>
          <t>Specific card overrides general rules</t>
        </is>
      </c>
      <c r="AB196" t="inlineStr">
        <is>
          <t>Indexed INWO Book, Groups section</t>
        </is>
      </c>
      <c r="AC196" t="inlineStr">
        <is>
          <t>FUNCTIONALLY COMPLETE</t>
        </is>
      </c>
      <c r="AE196" t="inlineStr">
        <is>
          <t>Indexed INWO Book / historical cross-check</t>
        </is>
      </c>
      <c r="AF196" t="inlineStr">
        <is>
          <t>EXACT EDGE POSITIONS VERIFIED</t>
        </is>
      </c>
      <c r="AG196" t="inlineStr">
        <is>
          <t>Verified from supplied original-card scan: Groups/INWO - Stonehenge.png. Triangle orientation establishes IN=TOP, OUT=NONE.</t>
        </is>
      </c>
      <c r="AH196" t="inlineStr">
        <is>
          <t>TOP</t>
        </is>
      </c>
      <c r="AI196" t="inlineStr">
        <is>
          <t>NONE</t>
        </is>
      </c>
      <c r="AJ196" t="inlineStr">
        <is>
          <t>VERIFIED</t>
        </is>
      </c>
      <c r="AK196" t="inlineStr">
        <is>
          <t>Verified from supplied original-card scan: Groups/INWO - Stonehenge.png. Triangle orientation establishes IN=TOP, OUT=NONE.</t>
        </is>
      </c>
    </row>
    <row r="197" ht="34" customHeight="1" s="16">
      <c r="A197" s="20" t="inlineStr">
        <is>
          <t>Switzerland</t>
        </is>
      </c>
      <c r="B197" s="20" t="inlineStr">
        <is>
          <t>Group</t>
        </is>
      </c>
      <c r="C197" s="20" t="inlineStr">
        <is>
          <t>Place</t>
        </is>
      </c>
      <c r="D197" s="20" t="inlineStr">
        <is>
          <t>Common</t>
        </is>
      </c>
      <c r="E197" s="20" t="inlineStr">
        <is>
          <t>1</t>
        </is>
      </c>
      <c r="F197" s="20" t="inlineStr">
        <is>
          <t>6</t>
        </is>
      </c>
      <c r="G197" s="20" t="inlineStr">
        <is>
          <t>Conservative, Government</t>
        </is>
      </c>
      <c r="H197" s="20" t="inlineStr">
        <is>
          <t>Nation</t>
        </is>
      </c>
      <c r="I197" s="20" t="inlineStr">
        <is>
          <t>Gnomes get +15 direct control and cannot destroy it; another Illuminati controlling it gets +2 when attacking the Gnomes.</t>
        </is>
      </c>
      <c r="J197" s="20" t="inlineStr">
        <is>
          <t>Needs rules-engine encoding</t>
        </is>
      </c>
      <c r="K197" s="20" t="inlineStr">
        <is>
          <t>High</t>
        </is>
      </c>
      <c r="L197" s="20" t="inlineStr">
        <is>
          <t>Mechanics and outgoing-arrow count checked against the printed card; described in our own words. Exact physical edge placement tracked separately.</t>
        </is>
      </c>
      <c r="M197" s="20" t="inlineStr">
        <is>
          <t>https://www.scribd.com/document/851089808/TheINWOBook</t>
        </is>
      </c>
      <c r="N197" t="inlineStr">
        <is>
          <t>Passive or activated special ability</t>
        </is>
      </c>
      <c r="O197" t="inlineStr">
        <is>
          <t>Per card ability</t>
        </is>
      </c>
      <c r="Q197" t="inlineStr">
        <is>
          <t>While controlled / per effect</t>
        </is>
      </c>
      <c r="R197" t="inlineStr">
        <is>
          <t>Gnomes get +15 direct control and cannot destroy it; another Illuminati controlling it gets +2 when attacking the Gnomes.</t>
        </is>
      </c>
      <c r="S197" t="inlineStr">
        <is>
          <t>NO</t>
        </is>
      </c>
      <c r="T197" t="inlineStr">
        <is>
          <t>1 incoming control arrow</t>
        </is>
      </c>
      <c r="U197" t="n">
        <v>1</v>
      </c>
      <c r="V197" t="inlineStr">
        <is>
          <t>N/A — INWO uses Plots instead of group income/money</t>
        </is>
      </c>
      <c r="W197" t="inlineStr">
        <is>
          <t>Standard: 1 action token (Illuminati: 1 Illuminati action); verified mechanics state no override</t>
        </is>
      </c>
      <c r="X197" t="inlineStr">
        <is>
          <t>One copy in play at a time; spare copies act as hidden agents vs. a rival's copy; a destroyed Group cannot be replayed unless a card returns it (base rule)</t>
        </is>
      </c>
      <c r="Y197" t="inlineStr">
        <is>
          <t>None beyond base rules (verified mechanics state no override)</t>
        </is>
      </c>
      <c r="Z197" t="inlineStr">
        <is>
          <t>Standard response window (verified mechanics state no override)</t>
        </is>
      </c>
      <c r="AA197" t="inlineStr">
        <is>
          <t>Specific card overrides general rules</t>
        </is>
      </c>
      <c r="AB197" t="inlineStr">
        <is>
          <t>Indexed INWO Book, Groups section</t>
        </is>
      </c>
      <c r="AC197" t="inlineStr">
        <is>
          <t>FUNCTIONALLY COMPLETE</t>
        </is>
      </c>
      <c r="AE197" t="inlineStr">
        <is>
          <t>Indexed INWO Book / historical cross-check</t>
        </is>
      </c>
      <c r="AF197" t="inlineStr">
        <is>
          <t>EXACT EDGE POSITIONS VERIFIED</t>
        </is>
      </c>
      <c r="AG197" t="inlineStr">
        <is>
          <t>Verified from supplied original-card scan: Groups/INWO - Switzerland.png. Triangle orientation establishes IN=BOTTOM, OUT=TOP.</t>
        </is>
      </c>
      <c r="AH197" t="inlineStr">
        <is>
          <t>BOTTOM</t>
        </is>
      </c>
      <c r="AI197" t="inlineStr">
        <is>
          <t>TOP</t>
        </is>
      </c>
      <c r="AJ197" t="inlineStr">
        <is>
          <t>VERIFIED</t>
        </is>
      </c>
      <c r="AK197" t="inlineStr">
        <is>
          <t>Verified from supplied original-card scan: Groups/INWO - Switzerland.png. Triangle orientation establishes IN=BOTTOM, OUT=TOP.</t>
        </is>
      </c>
    </row>
    <row r="198" ht="34" customHeight="1" s="16">
      <c r="A198" s="20" t="inlineStr">
        <is>
          <t>Texas</t>
        </is>
      </c>
      <c r="B198" s="20" t="inlineStr">
        <is>
          <t>Group</t>
        </is>
      </c>
      <c r="C198" s="20" t="inlineStr">
        <is>
          <t>Place</t>
        </is>
      </c>
      <c r="D198" s="20" t="inlineStr">
        <is>
          <t>Rare</t>
        </is>
      </c>
      <c r="E198" s="20" t="inlineStr">
        <is>
          <t>6</t>
        </is>
      </c>
      <c r="F198" s="20" t="inlineStr">
        <is>
          <t>6</t>
        </is>
      </c>
      <c r="G198" s="20" t="inlineStr">
        <is>
          <t>Violent, Conservative, Government</t>
        </is>
      </c>
      <c r="H198" s="20" t="inlineStr">
        <is>
          <t>Huge, Coastal</t>
        </is>
      </c>
      <c r="I198" s="20" t="inlineStr">
        <is>
          <t>May hide one non-Goal Plot beneath Texas beyond normal hand limit and immune to exposure; it may only be used for something that involves Texas; swap it on your turn; hidden Plot is lost if Texas is captured/destroyed.</t>
        </is>
      </c>
      <c r="J198" s="20" t="inlineStr">
        <is>
          <t>Needs rules-engine encoding</t>
        </is>
      </c>
      <c r="K198" s="20" t="inlineStr">
        <is>
          <t>High</t>
        </is>
      </c>
      <c r="L198" s="20" t="inlineStr">
        <is>
          <t>Mechanics and outgoing-arrow count checked against the printed card; described in our own words. Exact physical edge placement tracked separately.</t>
        </is>
      </c>
      <c r="M198" s="20" t="inlineStr">
        <is>
          <t>https://www.scribd.com/document/851089808/TheINWOBook</t>
        </is>
      </c>
      <c r="N198" t="inlineStr">
        <is>
          <t>Passive or activated special ability</t>
        </is>
      </c>
      <c r="O198" t="inlineStr">
        <is>
          <t>Per card ability</t>
        </is>
      </c>
      <c r="Q198" t="inlineStr">
        <is>
          <t>While controlled / per effect</t>
        </is>
      </c>
      <c r="R198" t="inlineStr">
        <is>
          <t>May hide one non-Goal Plot beneath Texas beyond normal hand limit and immune to exposure; it may only be used for something that involves Texas; swap it on your turn; hidden Plot is lost if Texas is captured/destroyed.</t>
        </is>
      </c>
      <c r="S198" t="inlineStr">
        <is>
          <t>NO</t>
        </is>
      </c>
      <c r="T198" t="inlineStr">
        <is>
          <t>1 incoming control arrow</t>
        </is>
      </c>
      <c r="U198" t="n">
        <v>3</v>
      </c>
      <c r="V198" t="inlineStr">
        <is>
          <t>N/A — INWO uses Plots instead of group income/money</t>
        </is>
      </c>
      <c r="W198" t="inlineStr">
        <is>
          <t>Standard: 1 action token (Illuminati: 1 Illuminati action); verified mechanics state no override</t>
        </is>
      </c>
      <c r="X198" t="inlineStr">
        <is>
          <t>One copy in play at a time; spare copies act as hidden agents vs. a rival's copy; a destroyed Group cannot be replayed unless a card returns it (base rule)</t>
        </is>
      </c>
      <c r="Y198" t="inlineStr">
        <is>
          <t>None beyond base rules (verified mechanics state no override)</t>
        </is>
      </c>
      <c r="Z198" t="inlineStr">
        <is>
          <t>Standard response window (verified mechanics state no override)</t>
        </is>
      </c>
      <c r="AA198" t="inlineStr">
        <is>
          <t>Specific card overrides general rules</t>
        </is>
      </c>
      <c r="AB198" t="inlineStr">
        <is>
          <t>Indexed INWO Book, Groups section</t>
        </is>
      </c>
      <c r="AC198" t="inlineStr">
        <is>
          <t>FUNCTIONALLY COMPLETE</t>
        </is>
      </c>
      <c r="AE198" t="inlineStr">
        <is>
          <t>Indexed INWO Book / historical cross-check</t>
        </is>
      </c>
      <c r="AF198" t="inlineStr">
        <is>
          <t>EXACT EDGE POSITIONS VERIFIED</t>
        </is>
      </c>
      <c r="AG198" t="inlineStr">
        <is>
          <t>Verified from supplied original-card scan: Groups/INWO - Texas.png. Triangle orientation establishes IN=TOP, OUT=BOTTOM, LEFT, RIGHT.</t>
        </is>
      </c>
      <c r="AH198" t="inlineStr">
        <is>
          <t>TOP</t>
        </is>
      </c>
      <c r="AI198" t="inlineStr">
        <is>
          <t>BOTTOM, LEFT, RIGHT</t>
        </is>
      </c>
      <c r="AJ198" t="inlineStr">
        <is>
          <t>VERIFIED</t>
        </is>
      </c>
      <c r="AK198" t="inlineStr">
        <is>
          <t>Verified from supplied original-card scan: Groups/INWO - Texas.png. Triangle orientation establishes IN=TOP, OUT=BOTTOM, LEFT, RIGHT.</t>
        </is>
      </c>
    </row>
    <row r="199" ht="34" customHeight="1" s="16">
      <c r="A199" s="20" t="inlineStr">
        <is>
          <t>Vatican City</t>
        </is>
      </c>
      <c r="B199" s="20" t="inlineStr">
        <is>
          <t>Group</t>
        </is>
      </c>
      <c r="C199" s="20" t="inlineStr">
        <is>
          <t>Place</t>
        </is>
      </c>
      <c r="D199" s="20" t="inlineStr">
        <is>
          <t>Common</t>
        </is>
      </c>
      <c r="E199" s="20" t="inlineStr">
        <is>
          <t>4/4</t>
        </is>
      </c>
      <c r="F199" s="20" t="inlineStr">
        <is>
          <t>6</t>
        </is>
      </c>
      <c r="G199" s="20" t="inlineStr">
        <is>
          <t>Peaceful, Conservative</t>
        </is>
      </c>
      <c r="H199" s="20" t="inlineStr">
        <is>
          <t>Church, Nation</t>
        </is>
      </c>
      <c r="I199" s="20" t="inlineStr">
        <is>
          <t>Your entire Power Structure is immune to attacks from Peaceful groups.</t>
        </is>
      </c>
      <c r="J199" s="20" t="inlineStr">
        <is>
          <t>Needs rules-engine encoding</t>
        </is>
      </c>
      <c r="K199" s="20" t="inlineStr">
        <is>
          <t>High</t>
        </is>
      </c>
      <c r="L199" s="20" t="inlineStr">
        <is>
          <t>Mechanics and outgoing-arrow count checked against the printed card; described in our own words. Exact physical edge placement tracked separately.</t>
        </is>
      </c>
      <c r="M199" s="20" t="inlineStr">
        <is>
          <t>https://www.scribd.com/document/851089808/TheINWOBook</t>
        </is>
      </c>
      <c r="N199" t="inlineStr">
        <is>
          <t>Passive or activated special ability</t>
        </is>
      </c>
      <c r="O199" t="inlineStr">
        <is>
          <t>Per card ability</t>
        </is>
      </c>
      <c r="Q199" t="inlineStr">
        <is>
          <t>While controlled / per effect</t>
        </is>
      </c>
      <c r="R199" t="inlineStr">
        <is>
          <t>Your entire Power Structure is immune to attacks from Peaceful groups.</t>
        </is>
      </c>
      <c r="S199" t="inlineStr">
        <is>
          <t>NO</t>
        </is>
      </c>
      <c r="T199" t="inlineStr">
        <is>
          <t>1 incoming control arrow</t>
        </is>
      </c>
      <c r="U199" t="n">
        <v>3</v>
      </c>
      <c r="V199" t="inlineStr">
        <is>
          <t>N/A — INWO uses Plots instead of group income/money</t>
        </is>
      </c>
      <c r="W199" t="inlineStr">
        <is>
          <t>Standard: 1 action token (Illuminati: 1 Illuminati action); verified mechanics state no override</t>
        </is>
      </c>
      <c r="X199" t="inlineStr">
        <is>
          <t>One copy in play at a time; spare copies act as hidden agents vs. a rival's copy; a destroyed Group cannot be replayed unless a card returns it (base rule)</t>
        </is>
      </c>
      <c r="Y199" t="inlineStr">
        <is>
          <t>None beyond base rules (verified mechanics state no override)</t>
        </is>
      </c>
      <c r="Z199" t="inlineStr">
        <is>
          <t>Standard response window (verified mechanics state no override)</t>
        </is>
      </c>
      <c r="AA199" t="inlineStr">
        <is>
          <t>Specific card overrides general rules</t>
        </is>
      </c>
      <c r="AB199" t="inlineStr">
        <is>
          <t>Indexed INWO Book, Groups section</t>
        </is>
      </c>
      <c r="AC199" t="inlineStr">
        <is>
          <t>FUNCTIONALLY COMPLETE</t>
        </is>
      </c>
      <c r="AE199" t="inlineStr">
        <is>
          <t>Indexed INWO Book / historical cross-check</t>
        </is>
      </c>
      <c r="AF199" t="inlineStr">
        <is>
          <t>EXACT EDGE POSITIONS VERIFIED</t>
        </is>
      </c>
      <c r="AG199" t="inlineStr">
        <is>
          <t>Verified from supplied original-card scan: Groups/INWO - Vatican City.png. Triangle orientation establishes IN=BOTTOM, OUT=TOP, LEFT, RIGHT.</t>
        </is>
      </c>
      <c r="AH199" t="inlineStr">
        <is>
          <t>BOTTOM</t>
        </is>
      </c>
      <c r="AI199" t="inlineStr">
        <is>
          <t>TOP, LEFT, RIGHT</t>
        </is>
      </c>
      <c r="AJ199" t="inlineStr">
        <is>
          <t>VERIFIED</t>
        </is>
      </c>
      <c r="AK199" t="inlineStr">
        <is>
          <t>Verified from supplied original-card scan: Groups/INWO - Vatican City.png. Triangle orientation establishes IN=BOTTOM, OUT=TOP, LEFT, RIGHT.</t>
        </is>
      </c>
    </row>
    <row r="200" ht="34" customHeight="1" s="16">
      <c r="A200" s="20" t="inlineStr">
        <is>
          <t>18 1/2-Minute Gap</t>
        </is>
      </c>
      <c r="B200" s="20" t="inlineStr">
        <is>
          <t>Plot</t>
        </is>
      </c>
      <c r="C200" s="20" t="inlineStr">
        <is>
          <t>Plot</t>
        </is>
      </c>
      <c r="D200" s="20" t="inlineStr">
        <is>
          <t>Rare</t>
        </is>
      </c>
      <c r="E200" s="20" t="str"/>
      <c r="F200" s="20" t="str"/>
      <c r="G200" s="20" t="str"/>
      <c r="H200" s="20" t="str"/>
      <c r="I200" s="20" t="inlineStr">
        <is>
          <t>Play right after another player plays a Plot card. That Plot has no effect and goes into your hand instead. To play this you must spend every Action token currently on your Illuminati (at least 1), and discard the top undrawn card of both your Plot deck and your Group deck.</t>
        </is>
      </c>
      <c r="J200" s="20" t="inlineStr">
        <is>
          <t>Needs rules-engine encoding</t>
        </is>
      </c>
      <c r="K200" s="20" t="inlineStr">
        <is>
          <t>High</t>
        </is>
      </c>
      <c r="L200" s="20" t="inlineStr">
        <is>
          <t>Card-bottom label: requires discards and all Illuminati actions.</t>
        </is>
      </c>
      <c r="M200" s="20" t="inlineStr">
        <is>
          <t>https://github.com/Cha0smagick/Virtual-Illuminati-New-World-order-INWO-game</t>
        </is>
      </c>
      <c r="N200" t="inlineStr">
        <is>
          <t>Immediately after another player plays a Plot card</t>
        </is>
      </c>
      <c r="O200" t="inlineStr">
        <is>
          <t>The Plot card just played by another player</t>
        </is>
      </c>
      <c r="P200" t="inlineStr">
        <is>
          <t>Spend all Illuminati action tokens (minimum 1) + discard top card of your Plot deck and top card of your Group deck</t>
        </is>
      </c>
      <c r="Q200" t="inlineStr">
        <is>
          <t>Immediate</t>
        </is>
      </c>
      <c r="R200" t="inlineStr">
        <is>
          <t>Target Plot nullified and moved to your hand</t>
        </is>
      </c>
      <c r="S200" t="inlineStr">
        <is>
          <t>NO</t>
        </is>
      </c>
      <c r="T200" t="inlineStr">
        <is>
          <t>N/A</t>
        </is>
      </c>
      <c r="U200" t="inlineStr">
        <is>
          <t>N/A</t>
        </is>
      </c>
      <c r="V200" t="inlineStr">
        <is>
          <t>N/A — INWO uses Plots instead of group income/money</t>
        </is>
      </c>
      <c r="W200" t="inlineStr">
        <is>
          <t>N/A</t>
        </is>
      </c>
      <c r="X200" t="inlineStr">
        <is>
          <t>No card-specific limit (base duplicate rules apply)</t>
        </is>
      </c>
      <c r="Y200" t="inlineStr">
        <is>
          <t>Your Illuminati must have at least 1 unspent action token; someone else must have just played a Plot</t>
        </is>
      </c>
      <c r="Z200" t="inlineStr">
        <is>
          <t>Standard response window</t>
        </is>
      </c>
      <c r="AA200" t="inlineStr">
        <is>
          <t>Specific card overrides general rules</t>
        </is>
      </c>
      <c r="AB200" t="inlineStr">
        <is>
          <t>Full card scan read; behaviour paraphrased (no card text copied)</t>
        </is>
      </c>
      <c r="AC200" t="inlineStr">
        <is>
          <t>FUNCTIONALLY COMPLETE</t>
        </is>
      </c>
      <c r="AD200" t="inlineStr">
        <is>
          <t>None</t>
        </is>
      </c>
      <c r="AE200" t="inlineStr">
        <is>
          <t>Card scan (GitHub: Cha0smagick/Virtual-Illuminati-New-World-order-INWO-game), read Sep 2026</t>
        </is>
      </c>
      <c r="AF200" t="inlineStr">
        <is>
          <t>N/A</t>
        </is>
      </c>
      <c r="AG200" t="inlineStr">
        <is>
          <t>N/A</t>
        </is>
      </c>
      <c r="AH200" t="inlineStr">
        <is>
          <t>N/A</t>
        </is>
      </c>
      <c r="AI200" t="inlineStr">
        <is>
          <t>N/A</t>
        </is>
      </c>
      <c r="AJ200" t="inlineStr">
        <is>
          <t>N/A</t>
        </is>
      </c>
      <c r="AK200" t="inlineStr">
        <is>
          <t>Official rules: non-Group card types do not use normal Group control-arrow geometry.</t>
        </is>
      </c>
    </row>
    <row r="201" ht="34" customHeight="1" s="16">
      <c r="A201" s="20" t="inlineStr">
        <is>
          <t>Agent in Place</t>
        </is>
      </c>
      <c r="B201" s="20" t="inlineStr">
        <is>
          <t>Plot</t>
        </is>
      </c>
      <c r="C201" s="20" t="inlineStr">
        <is>
          <t>Plot</t>
        </is>
      </c>
      <c r="D201" s="20" t="inlineStr">
        <is>
          <t>Common</t>
        </is>
      </c>
      <c r="E201" s="20" t="str"/>
      <c r="F201" s="20" t="str"/>
      <c r="G201" s="20" t="str"/>
      <c r="H201" s="20" t="str"/>
      <c r="I201" s="20" t="inlineStr">
        <is>
          <t>Play at any time by spending the action of one of your groups with Power 4 or more. Choose one rival: you look at all their hidden Plot cards and choose one of them, which they must discard.</t>
        </is>
      </c>
      <c r="J201" s="20" t="inlineStr">
        <is>
          <t>Needs rules-engine encoding</t>
        </is>
      </c>
      <c r="K201" s="20" t="inlineStr">
        <is>
          <t>High</t>
        </is>
      </c>
      <c r="L201" s="20" t="str"/>
      <c r="M201" s="20" t="inlineStr">
        <is>
          <t>https://github.com/Cha0smagick/Virtual-Illuminati-New-World-order-INWO-game</t>
        </is>
      </c>
      <c r="N201" t="inlineStr">
        <is>
          <t>Play at any time</t>
        </is>
      </c>
      <c r="O201" t="inlineStr">
        <is>
          <t>One rival player's hidden Plot cards</t>
        </is>
      </c>
      <c r="P201" t="inlineStr">
        <is>
          <t>Action of one of your groups with Power &gt;= 4</t>
        </is>
      </c>
      <c r="Q201" t="inlineStr">
        <is>
          <t>Immediate</t>
        </is>
      </c>
      <c r="R201" t="inlineStr">
        <is>
          <t>Reveal target rival's hidden Plots to you; you choose 1 for them to discard</t>
        </is>
      </c>
      <c r="S201" t="inlineStr">
        <is>
          <t>NO</t>
        </is>
      </c>
      <c r="T201" t="inlineStr">
        <is>
          <t>N/A</t>
        </is>
      </c>
      <c r="U201" t="inlineStr">
        <is>
          <t>N/A</t>
        </is>
      </c>
      <c r="V201" t="inlineStr">
        <is>
          <t>N/A — INWO uses Plots instead of group income/money</t>
        </is>
      </c>
      <c r="W201" t="inlineStr">
        <is>
          <t>N/A</t>
        </is>
      </c>
      <c r="X201" t="inlineStr">
        <is>
          <t>No card-specific limit (base duplicate rules apply)</t>
        </is>
      </c>
      <c r="Y201" t="inlineStr">
        <is>
          <t>You control a group with Power 4+ that has an unspent action</t>
        </is>
      </c>
      <c r="Z201" t="inlineStr">
        <is>
          <t>Standard response window</t>
        </is>
      </c>
      <c r="AA201" t="inlineStr">
        <is>
          <t>Specific card overrides general rules</t>
        </is>
      </c>
      <c r="AB201" t="inlineStr">
        <is>
          <t>Full card scan read; behaviour paraphrased (no card text copied)</t>
        </is>
      </c>
      <c r="AC201" t="inlineStr">
        <is>
          <t>FUNCTIONALLY COMPLETE</t>
        </is>
      </c>
      <c r="AD201" t="inlineStr">
        <is>
          <t>None</t>
        </is>
      </c>
      <c r="AE201" t="inlineStr">
        <is>
          <t>Card scan (GitHub: Cha0smagick/Virtual-Illuminati-New-World-order-INWO-game), read Sep 2026</t>
        </is>
      </c>
      <c r="AF201" t="inlineStr">
        <is>
          <t>N/A</t>
        </is>
      </c>
      <c r="AG201" t="inlineStr">
        <is>
          <t>N/A</t>
        </is>
      </c>
      <c r="AH201" t="inlineStr">
        <is>
          <t>N/A</t>
        </is>
      </c>
      <c r="AI201" t="inlineStr">
        <is>
          <t>N/A</t>
        </is>
      </c>
      <c r="AJ201" t="inlineStr">
        <is>
          <t>N/A</t>
        </is>
      </c>
      <c r="AK201" t="inlineStr">
        <is>
          <t>Official rules: non-Group card types do not use normal Group control-arrow geometry.</t>
        </is>
      </c>
    </row>
    <row r="202" ht="34" customHeight="1" s="16">
      <c r="A202" s="20" t="inlineStr">
        <is>
          <t>Air Magic</t>
        </is>
      </c>
      <c r="B202" s="20" t="inlineStr">
        <is>
          <t>Plot</t>
        </is>
      </c>
      <c r="C202" s="20" t="inlineStr">
        <is>
          <t>Plot</t>
        </is>
      </c>
      <c r="D202" s="20" t="inlineStr">
        <is>
          <t>Uncommon</t>
        </is>
      </c>
      <c r="E202" s="20" t="str"/>
      <c r="F202" s="20" t="str"/>
      <c r="G202" s="20" t="str"/>
      <c r="H202" s="20" t="str"/>
      <c r="I202" s="20" t="inlineStr">
        <is>
          <t>Helps a Place defend against a Disaster other than Earthquake or Volcano: triple the Place's Power for that single defense. To pay, spend a Magic group's action or discard the top card of your Plot deck without looking at it.</t>
        </is>
      </c>
      <c r="J202" s="20" t="inlineStr">
        <is>
          <t>Needs rules-engine encoding</t>
        </is>
      </c>
      <c r="K202" s="20" t="inlineStr">
        <is>
          <t>High</t>
        </is>
      </c>
      <c r="L202" s="20" t="inlineStr">
        <is>
          <t>Card-bottom label: requires Magic action or discard. Card does not restrict to your own Places.</t>
        </is>
      </c>
      <c r="M202" s="20" t="inlineStr">
        <is>
          <t>https://github.com/Cha0smagick/Virtual-Illuminati-New-World-order-INWO-game</t>
        </is>
      </c>
      <c r="N202" t="inlineStr">
        <is>
          <t>In response to a Disaster targeting a Place</t>
        </is>
      </c>
      <c r="O202" t="inlineStr">
        <is>
          <t>One Place being attacked by a Disaster (not Earthquake or Volcano)</t>
        </is>
      </c>
      <c r="P202" t="inlineStr">
        <is>
          <t>Action of a Magic group, OR discard top card of your Plot deck without looking</t>
        </is>
      </c>
      <c r="Q202" t="inlineStr">
        <is>
          <t>This one defense</t>
        </is>
      </c>
      <c r="R202" t="inlineStr">
        <is>
          <t>Defending Place Power x3 for this defense</t>
        </is>
      </c>
      <c r="S202" t="inlineStr">
        <is>
          <t>NO</t>
        </is>
      </c>
      <c r="T202" t="inlineStr">
        <is>
          <t>N/A</t>
        </is>
      </c>
      <c r="U202" t="inlineStr">
        <is>
          <t>N/A</t>
        </is>
      </c>
      <c r="V202" t="inlineStr">
        <is>
          <t>N/A — INWO uses Plots instead of group income/money</t>
        </is>
      </c>
      <c r="W202" t="inlineStr">
        <is>
          <t>N/A</t>
        </is>
      </c>
      <c r="X202" t="inlineStr">
        <is>
          <t>No card-specific limit (base duplicate rules apply)</t>
        </is>
      </c>
      <c r="Y202" t="inlineStr">
        <is>
          <t>Target must be a Place under Disaster attack other than Earthquake or Volcano</t>
        </is>
      </c>
      <c r="Z202" t="inlineStr">
        <is>
          <t>Standard response window</t>
        </is>
      </c>
      <c r="AA202" t="inlineStr">
        <is>
          <t>Specific card overrides general rules</t>
        </is>
      </c>
      <c r="AB202" t="inlineStr">
        <is>
          <t>Full card scan read; behaviour paraphrased (no card text copied)</t>
        </is>
      </c>
      <c r="AC202" t="inlineStr">
        <is>
          <t>FUNCTIONALLY COMPLETE</t>
        </is>
      </c>
      <c r="AD202" t="inlineStr">
        <is>
          <t>None</t>
        </is>
      </c>
      <c r="AE202" t="inlineStr">
        <is>
          <t>Card scan (GitHub: Cha0smagick/Virtual-Illuminati-New-World-order-INWO-game), read Sep 2026</t>
        </is>
      </c>
      <c r="AF202" t="inlineStr">
        <is>
          <t>N/A</t>
        </is>
      </c>
      <c r="AG202" t="inlineStr">
        <is>
          <t>N/A</t>
        </is>
      </c>
      <c r="AH202" t="inlineStr">
        <is>
          <t>N/A</t>
        </is>
      </c>
      <c r="AI202" t="inlineStr">
        <is>
          <t>N/A</t>
        </is>
      </c>
      <c r="AJ202" t="inlineStr">
        <is>
          <t>N/A</t>
        </is>
      </c>
      <c r="AK202" t="inlineStr">
        <is>
          <t>Official rules: non-Group card types do not use normal Group control-arrow geometry.</t>
        </is>
      </c>
    </row>
    <row r="203" ht="34" customHeight="1" s="16">
      <c r="A203" s="20" t="inlineStr">
        <is>
          <t>Albino Alligators</t>
        </is>
      </c>
      <c r="B203" s="20" t="inlineStr">
        <is>
          <t>Plot</t>
        </is>
      </c>
      <c r="C203" s="20" t="inlineStr">
        <is>
          <t>Plot</t>
        </is>
      </c>
      <c r="D203" s="20" t="inlineStr">
        <is>
          <t>Common</t>
        </is>
      </c>
      <c r="E203" s="20" t="str"/>
      <c r="F203" s="20" t="str"/>
      <c r="G203" s="20" t="str"/>
      <c r="H203" s="20" t="str"/>
      <c r="I203" s="20" t="inlineStr">
        <is>
          <t>Grants +10 to either Power or Resistance (player chooses) of one Weird group the player controls. When boosting an action, it must be played as the action is first announced and applies only to that action. When used defensively, the bonus lasts until the end of the current turn and is ignored when checking Goals.</t>
        </is>
      </c>
      <c r="J203" s="20" t="inlineStr">
        <is>
          <t>Needs rules-engine encoding</t>
        </is>
      </c>
      <c r="K203" s="20" t="inlineStr">
        <is>
          <t>High</t>
        </is>
      </c>
      <c r="L203" s="20" t="str"/>
      <c r="M203" s="20" t="inlineStr">
        <is>
          <t>https://github.com/Cha0smagick/Virtual-Illuminati-New-World-order-INWO-game</t>
        </is>
      </c>
      <c r="N203" t="inlineStr">
        <is>
          <t>Play at any time (with an action: at declaration)</t>
        </is>
      </c>
      <c r="O203" t="inlineStr">
        <is>
          <t>One Weird group you control</t>
        </is>
      </c>
      <c r="P203" t="inlineStr">
        <is>
          <t>None</t>
        </is>
      </c>
      <c r="Q203" t="inlineStr">
        <is>
          <t>Single action if used with an action; until end of current turn if used for defense</t>
        </is>
      </c>
      <c r="R203" t="inlineStr">
        <is>
          <t>+10 Power or +10 Resistance (choice); defensive bonus excluded from Goal checks</t>
        </is>
      </c>
      <c r="S203" t="inlineStr">
        <is>
          <t>NO</t>
        </is>
      </c>
      <c r="T203" t="inlineStr">
        <is>
          <t>N/A</t>
        </is>
      </c>
      <c r="U203" t="inlineStr">
        <is>
          <t>N/A</t>
        </is>
      </c>
      <c r="V203" t="inlineStr">
        <is>
          <t>N/A — INWO uses Plots instead of group income/money</t>
        </is>
      </c>
      <c r="W203" t="inlineStr">
        <is>
          <t>N/A</t>
        </is>
      </c>
      <c r="X203" t="inlineStr">
        <is>
          <t>No card-specific limit (base duplicate rules apply)</t>
        </is>
      </c>
      <c r="Y203" t="inlineStr">
        <is>
          <t>Target must be a Weird group you control; if supporting an action, must be played when that action is first declared</t>
        </is>
      </c>
      <c r="Z203" t="inlineStr">
        <is>
          <t>Standard response window</t>
        </is>
      </c>
      <c r="AA203" t="inlineStr">
        <is>
          <t>Specific card overrides general rules</t>
        </is>
      </c>
      <c r="AB203" t="inlineStr">
        <is>
          <t>Full card scan read; behaviour paraphrased (no card text copied)</t>
        </is>
      </c>
      <c r="AC203" t="inlineStr">
        <is>
          <t>FUNCTIONALLY COMPLETE</t>
        </is>
      </c>
      <c r="AD203" t="inlineStr">
        <is>
          <t>None</t>
        </is>
      </c>
      <c r="AE203" t="inlineStr">
        <is>
          <t>Card scan (GitHub: Cha0smagick/Virtual-Illuminati-New-World-order-INWO-game), read Sep 2026</t>
        </is>
      </c>
      <c r="AF203" t="inlineStr">
        <is>
          <t>N/A</t>
        </is>
      </c>
      <c r="AG203" t="inlineStr">
        <is>
          <t>N/A</t>
        </is>
      </c>
      <c r="AH203" t="inlineStr">
        <is>
          <t>N/A</t>
        </is>
      </c>
      <c r="AI203" t="inlineStr">
        <is>
          <t>N/A</t>
        </is>
      </c>
      <c r="AJ203" t="inlineStr">
        <is>
          <t>N/A</t>
        </is>
      </c>
      <c r="AK203" t="inlineStr">
        <is>
          <t>Official rules: non-Group card types do not use normal Group control-arrow geometry.</t>
        </is>
      </c>
    </row>
    <row r="204" ht="34" customHeight="1" s="16">
      <c r="A204" s="20" t="inlineStr">
        <is>
          <t>Alternate Goals</t>
        </is>
      </c>
      <c r="B204" s="20" t="inlineStr">
        <is>
          <t>Plot</t>
        </is>
      </c>
      <c r="C204" s="20" t="inlineStr">
        <is>
          <t>Plot</t>
        </is>
      </c>
      <c r="D204" s="20" t="inlineStr">
        <is>
          <t>Common</t>
        </is>
      </c>
      <c r="E204" s="20" t="str"/>
      <c r="F204" s="20" t="str"/>
      <c r="G204" s="20" t="str"/>
      <c r="H204" s="20" t="str"/>
      <c r="I204" s="20" t="inlineStr">
        <is>
          <t>Kept in your hand, never played to the table. While you hold it, you may hold two Goal cards at once and win by fulfilling the conditions of either one. Conditions from the two Goals may not be mixed or combined to satisfy a win.</t>
        </is>
      </c>
      <c r="J204" s="20" t="inlineStr">
        <is>
          <t>Needs rules-engine encoding</t>
        </is>
      </c>
      <c r="K204" s="20" t="inlineStr">
        <is>
          <t>High</t>
        </is>
      </c>
      <c r="L204" s="20" t="inlineStr">
        <is>
          <t>Card does not state a play timing; assumed played normally and kept in play.</t>
        </is>
      </c>
      <c r="M204" s="20" t="inlineStr">
        <is>
          <t>https://github.com/Cha0smagick/Virtual-Illuminati-New-World-order-INWO-game</t>
        </is>
      </c>
      <c r="N204" t="inlineStr">
        <is>
          <t>Passive while held in your hand (never played)</t>
        </is>
      </c>
      <c r="O204" t="inlineStr">
        <is>
          <t>Self (your Goal cards)</t>
        </is>
      </c>
      <c r="P204" t="inlineStr">
        <is>
          <t>None</t>
        </is>
      </c>
      <c r="Q204" t="inlineStr">
        <is>
          <t>As long as you hold it in your hand</t>
        </is>
      </c>
      <c r="R204" t="inlineStr">
        <is>
          <t>Max Goals held = 2; win if either Goal is met independently; no combining Goal requirements</t>
        </is>
      </c>
      <c r="S204" t="inlineStr">
        <is>
          <t>NO</t>
        </is>
      </c>
      <c r="T204" t="inlineStr">
        <is>
          <t>N/A</t>
        </is>
      </c>
      <c r="U204" t="inlineStr">
        <is>
          <t>N/A</t>
        </is>
      </c>
      <c r="V204" t="inlineStr">
        <is>
          <t>N/A — INWO uses Plots instead of group income/money</t>
        </is>
      </c>
      <c r="W204" t="inlineStr">
        <is>
          <t>N/A</t>
        </is>
      </c>
      <c r="X204" t="inlineStr">
        <is>
          <t>No card-specific limit (base duplicate rules apply)</t>
        </is>
      </c>
      <c r="Y204" t="inlineStr">
        <is>
          <t>None beyond base rules</t>
        </is>
      </c>
      <c r="Z204" t="inlineStr">
        <is>
          <t>Standard response window</t>
        </is>
      </c>
      <c r="AA204" t="inlineStr">
        <is>
          <t>Specific card overrides general rules</t>
        </is>
      </c>
      <c r="AB204" t="inlineStr">
        <is>
          <t>Full card scan read; behaviour paraphrased (no card text copied)</t>
        </is>
      </c>
      <c r="AC204" t="inlineStr">
        <is>
          <t>FUNCTIONALLY COMPLETE</t>
        </is>
      </c>
      <c r="AD204" t="inlineStr">
        <is>
          <t>None</t>
        </is>
      </c>
      <c r="AE204" t="inlineStr">
        <is>
          <t>Card scan (GitHub: Cha0smagick/Virtual-Illuminati-New-World-order-INWO-game), read Sep 2026</t>
        </is>
      </c>
      <c r="AF204" t="inlineStr">
        <is>
          <t>N/A</t>
        </is>
      </c>
      <c r="AG204" t="inlineStr">
        <is>
          <t>N/A</t>
        </is>
      </c>
      <c r="AH204" t="inlineStr">
        <is>
          <t>N/A</t>
        </is>
      </c>
      <c r="AI204" t="inlineStr">
        <is>
          <t>N/A</t>
        </is>
      </c>
      <c r="AJ204" t="inlineStr">
        <is>
          <t>N/A</t>
        </is>
      </c>
      <c r="AK204" t="inlineStr">
        <is>
          <t>Official rules: non-Group card types do not use normal Group control-arrow geometry.</t>
        </is>
      </c>
    </row>
    <row r="205" ht="34" customHeight="1" s="16">
      <c r="A205" s="20" t="inlineStr">
        <is>
          <t>An Offer You Can't Refuse</t>
        </is>
      </c>
      <c r="B205" s="20" t="inlineStr">
        <is>
          <t>Plot</t>
        </is>
      </c>
      <c r="C205" s="20" t="inlineStr">
        <is>
          <t>Plot</t>
        </is>
      </c>
      <c r="D205" s="20" t="inlineStr">
        <is>
          <t>Rare</t>
        </is>
      </c>
      <c r="E205" s="20" t="str"/>
      <c r="F205" s="20" t="str"/>
      <c r="G205" s="20" t="str"/>
      <c r="H205" s="20" t="str"/>
      <c r="I205" s="20" t="inlineStr">
        <is>
          <t>At the start of your turn, you may take two extra Plot card draws from a rival's Plot deck instead of your own, or take one Plot card each from the Plot decks of two different rivals. Doing so means you draw no Group cards this turn.</t>
        </is>
      </c>
      <c r="J205" s="20" t="inlineStr">
        <is>
          <t>Needs rules-engine encoding</t>
        </is>
      </c>
      <c r="K205" s="20" t="inlineStr">
        <is>
          <t>High</t>
        </is>
      </c>
      <c r="L205" s="20" t="inlineStr">
        <is>
          <t>The two cards are in addition to your normal Plot draw.</t>
        </is>
      </c>
      <c r="M205" s="20" t="inlineStr">
        <is>
          <t>https://github.com/Cha0smagick/Virtual-Illuminati-New-World-order-INWO-game</t>
        </is>
      </c>
      <c r="N205" t="inlineStr">
        <is>
          <t>Beginning of your turn</t>
        </is>
      </c>
      <c r="O205" t="inlineStr">
        <is>
          <t>One rival's Plot deck (2 cards) or two rivals' Plot decks (1 card each)</t>
        </is>
      </c>
      <c r="P205" t="inlineStr">
        <is>
          <t>Forfeit all Group card draws this turn</t>
        </is>
      </c>
      <c r="Q205" t="inlineStr">
        <is>
          <t>Immediate (draw restriction lasts this turn)</t>
        </is>
      </c>
      <c r="R205" t="inlineStr">
        <is>
          <t>+2 Plot draws from rival deck(s); Group draws this turn = 0</t>
        </is>
      </c>
      <c r="S205" t="inlineStr">
        <is>
          <t>NO</t>
        </is>
      </c>
      <c r="T205" t="inlineStr">
        <is>
          <t>N/A</t>
        </is>
      </c>
      <c r="U205" t="inlineStr">
        <is>
          <t>N/A</t>
        </is>
      </c>
      <c r="V205" t="inlineStr">
        <is>
          <t>N/A — INWO uses Plots instead of group income/money</t>
        </is>
      </c>
      <c r="W205" t="inlineStr">
        <is>
          <t>N/A</t>
        </is>
      </c>
      <c r="X205" t="inlineStr">
        <is>
          <t>No card-specific limit (base duplicate rules apply)</t>
        </is>
      </c>
      <c r="Y205" t="inlineStr">
        <is>
          <t>Must be played at the beginning of your own turn</t>
        </is>
      </c>
      <c r="Z205" t="inlineStr">
        <is>
          <t>Standard response window</t>
        </is>
      </c>
      <c r="AA205" t="inlineStr">
        <is>
          <t>Specific card overrides general rules</t>
        </is>
      </c>
      <c r="AB205" t="inlineStr">
        <is>
          <t>Full card scan read; behaviour paraphrased (no card text copied)</t>
        </is>
      </c>
      <c r="AC205" t="inlineStr">
        <is>
          <t>FUNCTIONALLY COMPLETE</t>
        </is>
      </c>
      <c r="AD205" t="inlineStr">
        <is>
          <t>None</t>
        </is>
      </c>
      <c r="AE205" t="inlineStr">
        <is>
          <t>Card scan (GitHub: Cha0smagick/Virtual-Illuminati-New-World-order-INWO-game), read Sep 2026</t>
        </is>
      </c>
      <c r="AF205" t="inlineStr">
        <is>
          <t>N/A</t>
        </is>
      </c>
      <c r="AG205" t="inlineStr">
        <is>
          <t>N/A</t>
        </is>
      </c>
      <c r="AH205" t="inlineStr">
        <is>
          <t>N/A</t>
        </is>
      </c>
      <c r="AI205" t="inlineStr">
        <is>
          <t>N/A</t>
        </is>
      </c>
      <c r="AJ205" t="inlineStr">
        <is>
          <t>N/A</t>
        </is>
      </c>
      <c r="AK205" t="inlineStr">
        <is>
          <t>Official rules: non-Group card types do not use normal Group control-arrow geometry.</t>
        </is>
      </c>
    </row>
    <row r="206" ht="34" customHeight="1" s="16">
      <c r="A206" s="20" t="inlineStr">
        <is>
          <t>And STAY Dead!</t>
        </is>
      </c>
      <c r="B206" s="20" t="inlineStr">
        <is>
          <t>Plot</t>
        </is>
      </c>
      <c r="C206" s="20" t="inlineStr">
        <is>
          <t>Plot</t>
        </is>
      </c>
      <c r="D206" s="20" t="inlineStr">
        <is>
          <t>Common</t>
        </is>
      </c>
      <c r="E206" s="20" t="str"/>
      <c r="F206" s="20" t="str"/>
      <c r="G206" s="20" t="str"/>
      <c r="H206" s="20" t="str"/>
      <c r="I206" s="20" t="inlineStr">
        <is>
          <t>Played right after any player destroys or discards a Group. That Group is permanently removed: no card or special ability can bring it back into play. Requires an action from a Magic group.</t>
        </is>
      </c>
      <c r="J206" s="20" t="inlineStr">
        <is>
          <t>Needs rules-engine encoding</t>
        </is>
      </c>
      <c r="K206" s="20" t="inlineStr">
        <is>
          <t>High</t>
        </is>
      </c>
      <c r="L206" s="20" t="str"/>
      <c r="M206" s="20" t="inlineStr">
        <is>
          <t>https://github.com/Cha0smagick/Virtual-Illuminati-New-World-order-INWO-game</t>
        </is>
      </c>
      <c r="N206" t="inlineStr">
        <is>
          <t>The moment a Group gets destroyed or discarded</t>
        </is>
      </c>
      <c r="O206" t="inlineStr">
        <is>
          <t>The Group just destroyed/discarded</t>
        </is>
      </c>
      <c r="P206" t="inlineStr">
        <is>
          <t>Action of a Magic group</t>
        </is>
      </c>
      <c r="Q206" t="inlineStr">
        <is>
          <t>Permanent</t>
        </is>
      </c>
      <c r="R206" t="inlineStr">
        <is>
          <t>Target flagged unrevivable (immune to all return/revive effects)</t>
        </is>
      </c>
      <c r="S206" t="inlineStr">
        <is>
          <t>NO</t>
        </is>
      </c>
      <c r="T206" t="inlineStr">
        <is>
          <t>N/A</t>
        </is>
      </c>
      <c r="U206" t="inlineStr">
        <is>
          <t>N/A</t>
        </is>
      </c>
      <c r="V206" t="inlineStr">
        <is>
          <t>N/A — INWO uses Plots instead of group income/money</t>
        </is>
      </c>
      <c r="W206" t="inlineStr">
        <is>
          <t>N/A</t>
        </is>
      </c>
      <c r="X206" t="inlineStr">
        <is>
          <t>No card-specific limit (base duplicate rules apply)</t>
        </is>
      </c>
      <c r="Y206" t="inlineStr">
        <is>
          <t>A Group was just destroyed or discarded by any player; you have a Magic group with an available action</t>
        </is>
      </c>
      <c r="Z206" t="inlineStr">
        <is>
          <t>Standard response window</t>
        </is>
      </c>
      <c r="AA206" t="inlineStr">
        <is>
          <t>Specific card overrides general rules</t>
        </is>
      </c>
      <c r="AB206" t="inlineStr">
        <is>
          <t>Full card scan read; behaviour paraphrased (no card text copied)</t>
        </is>
      </c>
      <c r="AC206" t="inlineStr">
        <is>
          <t>FUNCTIONALLY COMPLETE</t>
        </is>
      </c>
      <c r="AD206" t="inlineStr">
        <is>
          <t>None</t>
        </is>
      </c>
      <c r="AE206" t="inlineStr">
        <is>
          <t>Card scan (GitHub: Cha0smagick/Virtual-Illuminati-New-World-order-INWO-game), read Sep 2026</t>
        </is>
      </c>
      <c r="AF206" t="inlineStr">
        <is>
          <t>N/A</t>
        </is>
      </c>
      <c r="AG206" t="inlineStr">
        <is>
          <t>N/A</t>
        </is>
      </c>
      <c r="AH206" t="inlineStr">
        <is>
          <t>N/A</t>
        </is>
      </c>
      <c r="AI206" t="inlineStr">
        <is>
          <t>N/A</t>
        </is>
      </c>
      <c r="AJ206" t="inlineStr">
        <is>
          <t>N/A</t>
        </is>
      </c>
      <c r="AK206" t="inlineStr">
        <is>
          <t>Official rules: non-Group card types do not use normal Group control-arrow geometry.</t>
        </is>
      </c>
    </row>
    <row r="207" ht="34" customHeight="1" s="16">
      <c r="A207" s="20" t="inlineStr">
        <is>
          <t>Angst</t>
        </is>
      </c>
      <c r="B207" s="20" t="inlineStr">
        <is>
          <t>Plot</t>
        </is>
      </c>
      <c r="C207" s="20" t="inlineStr">
        <is>
          <t>Plot</t>
        </is>
      </c>
      <c r="D207" s="20" t="inlineStr">
        <is>
          <t>Rare</t>
        </is>
      </c>
      <c r="E207" s="20" t="str"/>
      <c r="F207" s="20" t="str"/>
      <c r="G207" s="20" t="str"/>
      <c r="H207" s="20" t="str"/>
      <c r="I207" s="20" t="inlineStr">
        <is>
          <t>Link this card to a Place or Organization (never an Illuminati) and reduce that group's Power to 1 for good. Playable whenever no attack is in progress. Costs your Illuminati's action plus the action of one of these: Orbital Mind Control Lasers, Psychiatrists, or Intellectuals.</t>
        </is>
      </c>
      <c r="J207" s="20" t="inlineStr">
        <is>
          <t>Needs rules-engine encoding</t>
        </is>
      </c>
      <c r="K207" s="20" t="inlineStr">
        <is>
          <t>High</t>
        </is>
      </c>
      <c r="L207" s="20" t="inlineStr">
        <is>
          <t>Does not specify rival-only; any non-Illuminati Place or Organization qualifies.</t>
        </is>
      </c>
      <c r="M207" s="20" t="inlineStr">
        <is>
          <t>https://github.com/Cha0smagick/Virtual-Illuminati-New-World-order-INWO-game</t>
        </is>
      </c>
      <c r="N207" t="inlineStr">
        <is>
          <t>Any time except during an attack</t>
        </is>
      </c>
      <c r="O207" t="inlineStr">
        <is>
          <t>A Place or Organization controlled by anyone; Illuminati excluded</t>
        </is>
      </c>
      <c r="P207" t="inlineStr">
        <is>
          <t>1 Illuminati action + 1 action of Psychiatrists, Intellectuals, or Orbital Mind Control Lasers</t>
        </is>
      </c>
      <c r="Q207" t="inlineStr">
        <is>
          <t>Permanent while linked</t>
        </is>
      </c>
      <c r="R207" t="inlineStr">
        <is>
          <t>Target Power reduced to 1; link card to target</t>
        </is>
      </c>
      <c r="S207" t="inlineStr">
        <is>
          <t>NO</t>
        </is>
      </c>
      <c r="T207" t="inlineStr">
        <is>
          <t>N/A</t>
        </is>
      </c>
      <c r="U207" t="inlineStr">
        <is>
          <t>N/A</t>
        </is>
      </c>
      <c r="V207" t="inlineStr">
        <is>
          <t>N/A — INWO uses Plots instead of group income/money</t>
        </is>
      </c>
      <c r="W207" t="inlineStr">
        <is>
          <t>N/A</t>
        </is>
      </c>
      <c r="X207" t="inlineStr">
        <is>
          <t>No card-specific limit (base duplicate rules apply)</t>
        </is>
      </c>
      <c r="Y207" t="inlineStr">
        <is>
          <t>Your Illuminati and one of the Psychiatrists / Intellectuals / Orbital Mind Control Lasers (under your control) each need an unused action; cannot be played while an attack is underway</t>
        </is>
      </c>
      <c r="Z207" t="inlineStr">
        <is>
          <t>Standard response window</t>
        </is>
      </c>
      <c r="AA207" t="inlineStr">
        <is>
          <t>Specific card overrides general rules</t>
        </is>
      </c>
      <c r="AB207" t="inlineStr">
        <is>
          <t>Full card scan read; behaviour paraphrased (no card text copied)</t>
        </is>
      </c>
      <c r="AC207" t="inlineStr">
        <is>
          <t>FUNCTIONALLY COMPLETE</t>
        </is>
      </c>
      <c r="AD207" t="inlineStr">
        <is>
          <t>None</t>
        </is>
      </c>
      <c r="AE207" t="inlineStr">
        <is>
          <t>Card scan (GitHub: Cha0smagick/Virtual-Illuminati-New-World-order-INWO-game), read Sep 2026</t>
        </is>
      </c>
      <c r="AF207" t="inlineStr">
        <is>
          <t>N/A</t>
        </is>
      </c>
      <c r="AG207" t="inlineStr">
        <is>
          <t>N/A</t>
        </is>
      </c>
      <c r="AH207" t="inlineStr">
        <is>
          <t>N/A</t>
        </is>
      </c>
      <c r="AI207" t="inlineStr">
        <is>
          <t>N/A</t>
        </is>
      </c>
      <c r="AJ207" t="inlineStr">
        <is>
          <t>N/A</t>
        </is>
      </c>
      <c r="AK207" t="inlineStr">
        <is>
          <t>Official rules: non-Group card types do not use normal Group control-arrow geometry.</t>
        </is>
      </c>
    </row>
    <row r="208" ht="34" customHeight="1" s="16">
      <c r="A208" s="20" t="inlineStr">
        <is>
          <t>Annual Convention</t>
        </is>
      </c>
      <c r="B208" s="20" t="inlineStr">
        <is>
          <t>Plot</t>
        </is>
      </c>
      <c r="C208" s="20" t="inlineStr">
        <is>
          <t>Plot</t>
        </is>
      </c>
      <c r="D208" s="20" t="inlineStr">
        <is>
          <t>Rare</t>
        </is>
      </c>
      <c r="E208" s="20" t="inlineStr">
        <is>
          <t>12 (Place destroyed) / 9 (Place Devastated)</t>
        </is>
      </c>
      <c r="F208" s="20" t="str"/>
      <c r="G208" s="20" t="str"/>
      <c r="H208" s="20" t="str"/>
      <c r="I208" s="20" t="inlineStr">
        <is>
          <t>Play right after a Place is destroyed or Devastated: it makes an Instant Attack to Destroy against an Organization in play, at Attack Power 12 if the Place was destroyed or 9 if it was Devastated. Only groups able to use Magic or Weird Science can join in, on either side; no other aid is allowed.</t>
        </is>
      </c>
      <c r="J208" s="20" t="inlineStr">
        <is>
          <t>Needs rules-engine encoding</t>
        </is>
      </c>
      <c r="K208" s="20" t="inlineStr">
        <is>
          <t>High</t>
        </is>
      </c>
      <c r="L208" s="20" t="inlineStr">
        <is>
          <t>Card does not say whether an action is required; as an Instant Attack with fixed Power it is treated as needing none.</t>
        </is>
      </c>
      <c r="M208" s="20" t="inlineStr">
        <is>
          <t>https://github.com/Cha0smagick/Virtual-Illuminati-New-World-order-INWO-game</t>
        </is>
      </c>
      <c r="N208" t="inlineStr">
        <is>
          <t>Right after a Place gets destroyed or Devastated</t>
        </is>
      </c>
      <c r="O208" t="inlineStr">
        <is>
          <t>Any Organization in play</t>
        </is>
      </c>
      <c r="P208" t="inlineStr">
        <is>
          <t>None</t>
        </is>
      </c>
      <c r="Q208" t="inlineStr">
        <is>
          <t>Immediate</t>
        </is>
      </c>
      <c r="R208" t="inlineStr">
        <is>
          <t>Instant Attack to Destroy, Power 12 or 9; interference limited to Magic/Weird Science groups</t>
        </is>
      </c>
      <c r="S208" t="inlineStr">
        <is>
          <t>NO</t>
        </is>
      </c>
      <c r="T208" t="inlineStr">
        <is>
          <t>N/A</t>
        </is>
      </c>
      <c r="U208" t="inlineStr">
        <is>
          <t>N/A</t>
        </is>
      </c>
      <c r="V208" t="inlineStr">
        <is>
          <t>N/A — INWO uses Plots instead of group income/money</t>
        </is>
      </c>
      <c r="W208" t="inlineStr">
        <is>
          <t>N/A</t>
        </is>
      </c>
      <c r="X208" t="inlineStr">
        <is>
          <t>No card-specific limit (base duplicate rules apply)</t>
        </is>
      </c>
      <c r="Y208" t="inlineStr">
        <is>
          <t>A Place was just destroyed or Devastated</t>
        </is>
      </c>
      <c r="Z208" t="inlineStr">
        <is>
          <t>Only Magic or Weird Science groups may interfere; others cannot aid either side</t>
        </is>
      </c>
      <c r="AA208" t="inlineStr">
        <is>
          <t>Specific card overrides general rules</t>
        </is>
      </c>
      <c r="AB208" t="inlineStr">
        <is>
          <t>Full card scan read; behaviour paraphrased (no card text copied)</t>
        </is>
      </c>
      <c r="AC208" t="inlineStr">
        <is>
          <t>FUNCTIONALLY COMPLETE</t>
        </is>
      </c>
      <c r="AD208" t="inlineStr">
        <is>
          <t>None</t>
        </is>
      </c>
      <c r="AE208" t="inlineStr">
        <is>
          <t>Card scan (GitHub: Cha0smagick/Virtual-Illuminati-New-World-order-INWO-game), read Sep 2026</t>
        </is>
      </c>
      <c r="AF208" t="inlineStr">
        <is>
          <t>N/A</t>
        </is>
      </c>
      <c r="AG208" t="inlineStr">
        <is>
          <t>N/A</t>
        </is>
      </c>
      <c r="AH208" t="inlineStr">
        <is>
          <t>N/A</t>
        </is>
      </c>
      <c r="AI208" t="inlineStr">
        <is>
          <t>N/A</t>
        </is>
      </c>
      <c r="AJ208" t="inlineStr">
        <is>
          <t>N/A</t>
        </is>
      </c>
      <c r="AK208" t="inlineStr">
        <is>
          <t>Official rules: non-Group card types do not use normal Group control-arrow geometry.</t>
        </is>
      </c>
    </row>
    <row r="209" ht="34" customHeight="1" s="16">
      <c r="A209" s="20" t="inlineStr">
        <is>
          <t>Are We Having Fun Yet?</t>
        </is>
      </c>
      <c r="B209" s="20" t="inlineStr">
        <is>
          <t>Plot</t>
        </is>
      </c>
      <c r="C209" s="20" t="inlineStr">
        <is>
          <t>Plot</t>
        </is>
      </c>
      <c r="D209" s="20" t="inlineStr">
        <is>
          <t>Common</t>
        </is>
      </c>
      <c r="E209" s="20" t="str"/>
      <c r="F209" s="20" t="str"/>
      <c r="G209" s="20" t="str"/>
      <c r="H209" s="20" t="str"/>
      <c r="I209" s="20" t="inlineStr">
        <is>
          <t>Cancels one action or one use of a special ability by the target group. Requires an action by one or more of your groups whose combined Power is greater than the target group's Power.</t>
        </is>
      </c>
      <c r="J209" s="20" t="inlineStr">
        <is>
          <t>Needs rules-engine encoding</t>
        </is>
      </c>
      <c r="K209" s="20" t="inlineStr">
        <is>
          <t>High</t>
        </is>
      </c>
      <c r="L209" s="20" t="str"/>
      <c r="M209" s="20" t="inlineStr">
        <is>
          <t>https://github.com/Cha0smagick/Virtual-Illuminati-New-World-order-INWO-game</t>
        </is>
      </c>
      <c r="N209" t="inlineStr">
        <is>
          <t>Play at any time (typically in response to the target's action/ability)</t>
        </is>
      </c>
      <c r="O209" t="inlineStr">
        <is>
          <t>Any group taking an action or using a special ability</t>
        </is>
      </c>
      <c r="P209" t="inlineStr">
        <is>
          <t>Spend actions of one or more groups whose combined Power exceeds the target's Power</t>
        </is>
      </c>
      <c r="Q209" t="inlineStr">
        <is>
          <t>Immediate</t>
        </is>
      </c>
      <c r="R209" t="inlineStr">
        <is>
          <t>Cancel 1 action or 1 special-ability use of target</t>
        </is>
      </c>
      <c r="S209" t="inlineStr">
        <is>
          <t>NO</t>
        </is>
      </c>
      <c r="T209" t="inlineStr">
        <is>
          <t>N/A</t>
        </is>
      </c>
      <c r="U209" t="inlineStr">
        <is>
          <t>N/A</t>
        </is>
      </c>
      <c r="V209" t="inlineStr">
        <is>
          <t>N/A — INWO uses Plots instead of group income/money</t>
        </is>
      </c>
      <c r="W209" t="inlineStr">
        <is>
          <t>N/A</t>
        </is>
      </c>
      <c r="X209" t="inlineStr">
        <is>
          <t>No card-specific limit (base duplicate rules apply)</t>
        </is>
      </c>
      <c r="Y209" t="inlineStr">
        <is>
          <t>Acting groups' combined Power must exceed the target's Power</t>
        </is>
      </c>
      <c r="Z209" t="inlineStr">
        <is>
          <t>Standard response window</t>
        </is>
      </c>
      <c r="AA209" t="inlineStr">
        <is>
          <t>Specific card overrides general rules</t>
        </is>
      </c>
      <c r="AB209" t="inlineStr">
        <is>
          <t>Full card scan read; behaviour paraphrased (no card text copied)</t>
        </is>
      </c>
      <c r="AC209" t="inlineStr">
        <is>
          <t>FUNCTIONALLY COMPLETE</t>
        </is>
      </c>
      <c r="AD209" t="inlineStr">
        <is>
          <t>None</t>
        </is>
      </c>
      <c r="AE209" t="inlineStr">
        <is>
          <t>Card scan (GitHub: Cha0smagick/Virtual-Illuminati-New-World-order-INWO-game), read Sep 2026</t>
        </is>
      </c>
      <c r="AF209" t="inlineStr">
        <is>
          <t>N/A</t>
        </is>
      </c>
      <c r="AG209" t="inlineStr">
        <is>
          <t>N/A</t>
        </is>
      </c>
      <c r="AH209" t="inlineStr">
        <is>
          <t>N/A</t>
        </is>
      </c>
      <c r="AI209" t="inlineStr">
        <is>
          <t>N/A</t>
        </is>
      </c>
      <c r="AJ209" t="inlineStr">
        <is>
          <t>N/A</t>
        </is>
      </c>
      <c r="AK209" t="inlineStr">
        <is>
          <t>Official rules: non-Group card types do not use normal Group control-arrow geometry.</t>
        </is>
      </c>
    </row>
    <row r="210" ht="34" customHeight="1" s="16">
      <c r="A210" s="20" t="inlineStr">
        <is>
          <t>Assertiveness Training</t>
        </is>
      </c>
      <c r="B210" s="20" t="inlineStr">
        <is>
          <t>Plot</t>
        </is>
      </c>
      <c r="C210" s="20" t="inlineStr">
        <is>
          <t>Plot</t>
        </is>
      </c>
      <c r="D210" s="20" t="inlineStr">
        <is>
          <t>Common</t>
        </is>
      </c>
      <c r="E210" s="20" t="str"/>
      <c r="F210" s="20" t="str"/>
      <c r="G210" s="20" t="str"/>
      <c r="H210" s="20" t="str"/>
      <c r="I210" s="20" t="inlineStr">
        <is>
          <t>Target group permanently gains the Violent alignment; if it was Peaceful, it loses Peaceful. Requires actions from either your Illuminati or Violent group(s) whose combined Power equals the target's Resistance, doubled if the target is currently Peaceful, plus the usual closeness-to-Illuminati bonuses if a rival owns it. Keep the card linked to the target.</t>
        </is>
      </c>
      <c r="J210" s="20" t="inlineStr">
        <is>
          <t>Needs rules-engine encoding</t>
        </is>
      </c>
      <c r="K210" s="20" t="inlineStr">
        <is>
          <t>High</t>
        </is>
      </c>
      <c r="L210" s="20" t="inlineStr">
        <is>
          <t>Wording is ambiguous whether the Power threshold applies to the Illuminati option too; read as applying to both.</t>
        </is>
      </c>
      <c r="M210" s="20" t="inlineStr">
        <is>
          <t>https://github.com/Cha0smagick/Virtual-Illuminati-New-World-order-INWO-game</t>
        </is>
      </c>
      <c r="N210" t="inlineStr">
        <is>
          <t>Play at any time</t>
        </is>
      </c>
      <c r="O210" t="inlineStr">
        <is>
          <t>Any group (own or rival's)</t>
        </is>
      </c>
      <c r="P210" t="inlineStr">
        <is>
          <t>Illuminati action, or action(s) of Violent group(s) with total Power &gt;= target Resistance (x2 if target Peaceful; + rival's position bonuses)</t>
        </is>
      </c>
      <c r="Q210" t="inlineStr">
        <is>
          <t>Permanent while linked</t>
        </is>
      </c>
      <c r="R210" t="inlineStr">
        <is>
          <t>Add Violent alignment; remove Peaceful if present; link to target</t>
        </is>
      </c>
      <c r="S210" t="inlineStr">
        <is>
          <t>NO</t>
        </is>
      </c>
      <c r="T210" t="inlineStr">
        <is>
          <t>N/A</t>
        </is>
      </c>
      <c r="U210" t="inlineStr">
        <is>
          <t>N/A</t>
        </is>
      </c>
      <c r="V210" t="inlineStr">
        <is>
          <t>N/A — INWO uses Plots instead of group income/money</t>
        </is>
      </c>
      <c r="W210" t="inlineStr">
        <is>
          <t>N/A</t>
        </is>
      </c>
      <c r="X210" t="inlineStr">
        <is>
          <t>No card-specific limit (base duplicate rules apply)</t>
        </is>
      </c>
      <c r="Y210" t="inlineStr">
        <is>
          <t>Enough Power as described among acting Violent groups, or an Illuminati action</t>
        </is>
      </c>
      <c r="Z210" t="inlineStr">
        <is>
          <t>Standard response window</t>
        </is>
      </c>
      <c r="AA210" t="inlineStr">
        <is>
          <t>Specific card overrides general rules</t>
        </is>
      </c>
      <c r="AB210" t="inlineStr">
        <is>
          <t>Full card scan read; behaviour paraphrased (no card text copied)</t>
        </is>
      </c>
      <c r="AC210" t="inlineStr">
        <is>
          <t>FUNCTIONALLY COMPLETE</t>
        </is>
      </c>
      <c r="AD210" t="inlineStr">
        <is>
          <t>None</t>
        </is>
      </c>
      <c r="AE210" t="inlineStr">
        <is>
          <t>Card scan (GitHub: Cha0smagick/Virtual-Illuminati-New-World-order-INWO-game), read Sep 2026</t>
        </is>
      </c>
      <c r="AF210" t="inlineStr">
        <is>
          <t>N/A</t>
        </is>
      </c>
      <c r="AG210" t="inlineStr">
        <is>
          <t>N/A</t>
        </is>
      </c>
      <c r="AH210" t="inlineStr">
        <is>
          <t>N/A</t>
        </is>
      </c>
      <c r="AI210" t="inlineStr">
        <is>
          <t>N/A</t>
        </is>
      </c>
      <c r="AJ210" t="inlineStr">
        <is>
          <t>N/A</t>
        </is>
      </c>
      <c r="AK210" t="inlineStr">
        <is>
          <t>Official rules: non-Group card types do not use normal Group control-arrow geometry.</t>
        </is>
      </c>
    </row>
    <row r="211" ht="34" customHeight="1" s="16">
      <c r="A211" s="20" t="inlineStr">
        <is>
          <t>Atomic Monster</t>
        </is>
      </c>
      <c r="B211" s="20" t="inlineStr">
        <is>
          <t>Plot</t>
        </is>
      </c>
      <c r="C211" s="20" t="inlineStr">
        <is>
          <t>Disaster</t>
        </is>
      </c>
      <c r="D211" s="20" t="inlineStr">
        <is>
          <t>Common</t>
        </is>
      </c>
      <c r="E211" s="20" t="inlineStr">
        <is>
          <t>16 (Huge Place) / 20 (other Place) / 24 (Japan or California)</t>
        </is>
      </c>
      <c r="F211" s="20" t="str"/>
      <c r="G211" s="20" t="str"/>
      <c r="H211" s="20" t="str"/>
      <c r="I211" s="20" t="inlineStr">
        <is>
          <t>Disaster. Instant Attack to Destroy a Coastal Place; no action needed. Attack Power: 16 versus a Huge Place, 24 versus Japan or California, 20 versus other Places. A success Devastates the target; beating the needed roll by more than 6 destroys it. Or, at any time, add +10 to an Attack to Destroy aimed at the Robot Sea Monsters or the Nuclear Power Companies.</t>
        </is>
      </c>
      <c r="J211" s="20" t="inlineStr">
        <is>
          <t>Needs rules-engine encoding</t>
        </is>
      </c>
      <c r="K211" s="20" t="inlineStr">
        <is>
          <t>High</t>
        </is>
      </c>
      <c r="L211" s="20" t="str"/>
      <c r="M211" s="20" t="inlineStr">
        <is>
          <t>https://github.com/Cha0smagick/Virtual-Illuminati-New-World-order-INWO-game</t>
        </is>
      </c>
      <c r="N211" t="inlineStr">
        <is>
          <t>Play at any time; no action required</t>
        </is>
      </c>
      <c r="O211" t="inlineStr">
        <is>
          <t>Any Coastal Place; or (alternate use) an attack against Robot Sea Monsters or Nuclear Power Companies</t>
        </is>
      </c>
      <c r="P211" t="inlineStr">
        <is>
          <t>None</t>
        </is>
      </c>
      <c r="Q211" t="inlineStr">
        <is>
          <t>Immediate</t>
        </is>
      </c>
      <c r="R211" t="inlineStr">
        <is>
          <t>Success: Devastated; margin &gt; 6: destroyed. Alt: +10 to attack to destroy Robot Sea Monsters / Nuclear Power Companies</t>
        </is>
      </c>
      <c r="S211" t="inlineStr">
        <is>
          <t>NO</t>
        </is>
      </c>
      <c r="T211" t="inlineStr">
        <is>
          <t>N/A</t>
        </is>
      </c>
      <c r="U211" t="inlineStr">
        <is>
          <t>N/A</t>
        </is>
      </c>
      <c r="V211" t="inlineStr">
        <is>
          <t>N/A — INWO uses Plots instead of group income/money</t>
        </is>
      </c>
      <c r="W211" t="inlineStr">
        <is>
          <t>N/A</t>
        </is>
      </c>
      <c r="X211" t="inlineStr">
        <is>
          <t>No card-specific limit (base duplicate rules apply)</t>
        </is>
      </c>
      <c r="Y211" t="inlineStr">
        <is>
          <t>Disaster mode: target must be Coastal</t>
        </is>
      </c>
      <c r="Z211" t="inlineStr">
        <is>
          <t>Standard response window</t>
        </is>
      </c>
      <c r="AA211" t="inlineStr">
        <is>
          <t>Specific card overrides general rules</t>
        </is>
      </c>
      <c r="AB211" t="inlineStr">
        <is>
          <t>Full card scan read; behaviour paraphrased (no card text copied)</t>
        </is>
      </c>
      <c r="AC211" t="inlineStr">
        <is>
          <t>FUNCTIONALLY COMPLETE</t>
        </is>
      </c>
      <c r="AD211" t="inlineStr">
        <is>
          <t>None</t>
        </is>
      </c>
      <c r="AE211" t="inlineStr">
        <is>
          <t>Card scan (GitHub: Cha0smagick/Virtual-Illuminati-New-World-order-INWO-game), read Sep 2026</t>
        </is>
      </c>
      <c r="AF211" t="inlineStr">
        <is>
          <t>N/A</t>
        </is>
      </c>
      <c r="AG211" t="inlineStr">
        <is>
          <t>N/A</t>
        </is>
      </c>
      <c r="AH211" t="inlineStr">
        <is>
          <t>N/A</t>
        </is>
      </c>
      <c r="AI211" t="inlineStr">
        <is>
          <t>N/A</t>
        </is>
      </c>
      <c r="AJ211" t="inlineStr">
        <is>
          <t>N/A</t>
        </is>
      </c>
      <c r="AK211" t="inlineStr">
        <is>
          <t>Official rules: non-Group card types do not use normal Group control-arrow geometry.</t>
        </is>
      </c>
    </row>
    <row r="212" ht="34" customHeight="1" s="16">
      <c r="A212" s="20" t="inlineStr">
        <is>
          <t>Backlash</t>
        </is>
      </c>
      <c r="B212" s="20" t="inlineStr">
        <is>
          <t>Plot</t>
        </is>
      </c>
      <c r="C212" s="20" t="inlineStr">
        <is>
          <t>Plot</t>
        </is>
      </c>
      <c r="D212" s="20" t="inlineStr">
        <is>
          <t>Common</t>
        </is>
      </c>
      <c r="E212" s="20" t="str"/>
      <c r="F212" s="20" t="str"/>
      <c r="G212" s="20" t="str"/>
      <c r="H212" s="20" t="str"/>
      <c r="I212" s="20" t="inlineStr">
        <is>
          <t>Undo one change to the target's alignment, Power, or Resistance that was caused by a Plot card, restoring the original value; remove that link and discard that Plot. Does not undo changes made by New World Order cards. Requires an action by a group sharing at least one alignment with the target, not counting Fanatic.</t>
        </is>
      </c>
      <c r="J212" s="20" t="inlineStr">
        <is>
          <t>Needs rules-engine encoding</t>
        </is>
      </c>
      <c r="K212" s="20" t="inlineStr">
        <is>
          <t>High</t>
        </is>
      </c>
      <c r="L212" s="20" t="str"/>
      <c r="M212" s="20" t="inlineStr">
        <is>
          <t>https://github.com/Cha0smagick/Virtual-Illuminati-New-World-order-INWO-game</t>
        </is>
      </c>
      <c r="N212" t="inlineStr">
        <is>
          <t>Play at any time</t>
        </is>
      </c>
      <c r="O212" t="inlineStr">
        <is>
          <t>A group with a Plot-caused alignment/Power/Resistance change</t>
        </is>
      </c>
      <c r="P212" t="inlineStr">
        <is>
          <t>Action of a group sharing a non-Fanatic alignment with the target</t>
        </is>
      </c>
      <c r="Q212" t="inlineStr">
        <is>
          <t>Immediate (restoration is permanent)</t>
        </is>
      </c>
      <c r="R212" t="inlineStr">
        <is>
          <t>Revert 1 Plot-caused stat/alignment change; discard that Plot card</t>
        </is>
      </c>
      <c r="S212" t="inlineStr">
        <is>
          <t>NO</t>
        </is>
      </c>
      <c r="T212" t="inlineStr">
        <is>
          <t>N/A</t>
        </is>
      </c>
      <c r="U212" t="inlineStr">
        <is>
          <t>N/A</t>
        </is>
      </c>
      <c r="V212" t="inlineStr">
        <is>
          <t>N/A — INWO uses Plots instead of group income/money</t>
        </is>
      </c>
      <c r="W212" t="inlineStr">
        <is>
          <t>N/A</t>
        </is>
      </c>
      <c r="X212" t="inlineStr">
        <is>
          <t>No card-specific limit (base duplicate rules apply)</t>
        </is>
      </c>
      <c r="Y212" t="inlineStr">
        <is>
          <t>Acting group shares at least one alignment (other than Fanatic) with the target; the change must come from a Plot, not an NWO</t>
        </is>
      </c>
      <c r="Z212" t="inlineStr">
        <is>
          <t>Standard response window</t>
        </is>
      </c>
      <c r="AA212" t="inlineStr">
        <is>
          <t>Specific card overrides general rules</t>
        </is>
      </c>
      <c r="AB212" t="inlineStr">
        <is>
          <t>Full card scan read; behaviour paraphrased (no card text copied)</t>
        </is>
      </c>
      <c r="AC212" t="inlineStr">
        <is>
          <t>FUNCTIONALLY COMPLETE</t>
        </is>
      </c>
      <c r="AD212" t="inlineStr">
        <is>
          <t>None</t>
        </is>
      </c>
      <c r="AE212" t="inlineStr">
        <is>
          <t>Card scan (GitHub: Cha0smagick/Virtual-Illuminati-New-World-order-INWO-game), read Sep 2026</t>
        </is>
      </c>
      <c r="AF212" t="inlineStr">
        <is>
          <t>N/A</t>
        </is>
      </c>
      <c r="AG212" t="inlineStr">
        <is>
          <t>N/A</t>
        </is>
      </c>
      <c r="AH212" t="inlineStr">
        <is>
          <t>N/A</t>
        </is>
      </c>
      <c r="AI212" t="inlineStr">
        <is>
          <t>N/A</t>
        </is>
      </c>
      <c r="AJ212" t="inlineStr">
        <is>
          <t>N/A</t>
        </is>
      </c>
      <c r="AK212" t="inlineStr">
        <is>
          <t>Official rules: non-Group card types do not use normal Group control-arrow geometry.</t>
        </is>
      </c>
    </row>
    <row r="213" ht="34" customHeight="1" s="16">
      <c r="A213" s="20" t="inlineStr">
        <is>
          <t>Bank Merger</t>
        </is>
      </c>
      <c r="B213" s="20" t="inlineStr">
        <is>
          <t>Plot</t>
        </is>
      </c>
      <c r="C213" s="20" t="inlineStr">
        <is>
          <t>Plot</t>
        </is>
      </c>
      <c r="D213" s="20" t="inlineStr">
        <is>
          <t>Uncommon</t>
        </is>
      </c>
      <c r="E213" s="20" t="str"/>
      <c r="F213" s="20" t="str"/>
      <c r="G213" s="20" t="str"/>
      <c r="H213" s="20" t="str"/>
      <c r="I213" s="20" t="inlineStr">
        <is>
          <t>Put an Action token on every Bank group you control, even ones already holding a token. Groups under an effect that prevents them from receiving Action tokens get nothing.</t>
        </is>
      </c>
      <c r="J213" s="20" t="inlineStr">
        <is>
          <t>Needs rules-engine encoding</t>
        </is>
      </c>
      <c r="K213" s="20" t="inlineStr">
        <is>
          <t>High</t>
        </is>
      </c>
      <c r="L213" s="20" t="inlineStr">
        <is>
          <t>Groups blocked from getting Action tokens are skipped.</t>
        </is>
      </c>
      <c r="M213" s="20" t="inlineStr">
        <is>
          <t>https://github.com/Cha0smagick/Virtual-Illuminati-New-World-order-INWO-game</t>
        </is>
      </c>
      <c r="N213" t="inlineStr">
        <is>
          <t>Play at any time</t>
        </is>
      </c>
      <c r="O213" t="inlineStr">
        <is>
          <t>All your Bank groups</t>
        </is>
      </c>
      <c r="P213" t="inlineStr">
        <is>
          <t>None</t>
        </is>
      </c>
      <c r="Q213" t="inlineStr">
        <is>
          <t>Immediate</t>
        </is>
      </c>
      <c r="R213" t="inlineStr">
        <is>
          <t>Every Bank group you control receives one extra Action token (in addition to any it already has)</t>
        </is>
      </c>
      <c r="S213" t="inlineStr">
        <is>
          <t>NO</t>
        </is>
      </c>
      <c r="T213" t="inlineStr">
        <is>
          <t>N/A</t>
        </is>
      </c>
      <c r="U213" t="inlineStr">
        <is>
          <t>N/A</t>
        </is>
      </c>
      <c r="V213" t="inlineStr">
        <is>
          <t>N/A — INWO uses Plots instead of group income/money</t>
        </is>
      </c>
      <c r="W213" t="inlineStr">
        <is>
          <t>N/A</t>
        </is>
      </c>
      <c r="X213" t="inlineStr">
        <is>
          <t>No card-specific limit (base duplicate rules apply)</t>
        </is>
      </c>
      <c r="Y213" t="inlineStr">
        <is>
          <t>None beyond base rules</t>
        </is>
      </c>
      <c r="Z213" t="inlineStr">
        <is>
          <t>Standard response window</t>
        </is>
      </c>
      <c r="AA213" t="inlineStr">
        <is>
          <t>Specific card overrides general rules</t>
        </is>
      </c>
      <c r="AB213" t="inlineStr">
        <is>
          <t>Full card scan read; behaviour paraphrased (no card text copied)</t>
        </is>
      </c>
      <c r="AC213" t="inlineStr">
        <is>
          <t>FUNCTIONALLY COMPLETE</t>
        </is>
      </c>
      <c r="AD213" t="inlineStr">
        <is>
          <t>None</t>
        </is>
      </c>
      <c r="AE213" t="inlineStr">
        <is>
          <t>Card scan (GitHub: Cha0smagick/Virtual-Illuminati-New-World-order-INWO-game), read Sep 2026</t>
        </is>
      </c>
      <c r="AF213" t="inlineStr">
        <is>
          <t>N/A</t>
        </is>
      </c>
      <c r="AG213" t="inlineStr">
        <is>
          <t>N/A</t>
        </is>
      </c>
      <c r="AH213" t="inlineStr">
        <is>
          <t>N/A</t>
        </is>
      </c>
      <c r="AI213" t="inlineStr">
        <is>
          <t>N/A</t>
        </is>
      </c>
      <c r="AJ213" t="inlineStr">
        <is>
          <t>N/A</t>
        </is>
      </c>
      <c r="AK213" t="inlineStr">
        <is>
          <t>Official rules: non-Group card types do not use normal Group control-arrow geometry.</t>
        </is>
      </c>
    </row>
    <row r="214" ht="34" customHeight="1" s="16">
      <c r="A214" s="20" t="inlineStr">
        <is>
          <t>Benefit Concert</t>
        </is>
      </c>
      <c r="B214" s="20" t="inlineStr">
        <is>
          <t>Plot</t>
        </is>
      </c>
      <c r="C214" s="20" t="inlineStr">
        <is>
          <t>Plot</t>
        </is>
      </c>
      <c r="D214" s="20" t="inlineStr">
        <is>
          <t>Common</t>
        </is>
      </c>
      <c r="E214" s="20" t="str"/>
      <c r="F214" s="20" t="str"/>
      <c r="G214" s="20" t="str"/>
      <c r="H214" s="20" t="str"/>
      <c r="I214" s="20" t="inlineStr">
        <is>
          <t>Grants +10 to either Power or Resistance (player chooses) of one Liberal group the player controls. When boosting an action, it must be played as the action is first announced and applies only to that action. When used defensively, the bonus lasts until the end of the current turn and is ignored when checking Goals.</t>
        </is>
      </c>
      <c r="J214" s="20" t="inlineStr">
        <is>
          <t>Needs rules-engine encoding</t>
        </is>
      </c>
      <c r="K214" s="20" t="inlineStr">
        <is>
          <t>High</t>
        </is>
      </c>
      <c r="L214" s="20" t="str"/>
      <c r="M214" s="20" t="inlineStr">
        <is>
          <t>https://github.com/Cha0smagick/Virtual-Illuminati-New-World-order-INWO-game</t>
        </is>
      </c>
      <c r="N214" t="inlineStr">
        <is>
          <t>Play at any time (with an action: at declaration)</t>
        </is>
      </c>
      <c r="O214" t="inlineStr">
        <is>
          <t>One Liberal group you control</t>
        </is>
      </c>
      <c r="P214" t="inlineStr">
        <is>
          <t>None</t>
        </is>
      </c>
      <c r="Q214" t="inlineStr">
        <is>
          <t>Single action if used with an action; until end of current turn if used for defense</t>
        </is>
      </c>
      <c r="R214" t="inlineStr">
        <is>
          <t>+10 Power or +10 Resistance (choice); defensive bonus excluded from Goal checks</t>
        </is>
      </c>
      <c r="S214" t="inlineStr">
        <is>
          <t>NO</t>
        </is>
      </c>
      <c r="T214" t="inlineStr">
        <is>
          <t>N/A</t>
        </is>
      </c>
      <c r="U214" t="inlineStr">
        <is>
          <t>N/A</t>
        </is>
      </c>
      <c r="V214" t="inlineStr">
        <is>
          <t>N/A — INWO uses Plots instead of group income/money</t>
        </is>
      </c>
      <c r="W214" t="inlineStr">
        <is>
          <t>N/A</t>
        </is>
      </c>
      <c r="X214" t="inlineStr">
        <is>
          <t>No card-specific limit (base duplicate rules apply)</t>
        </is>
      </c>
      <c r="Y214" t="inlineStr">
        <is>
          <t>Target must be a Liberal group you control; if supporting an action, must be played when that action is first declared</t>
        </is>
      </c>
      <c r="Z214" t="inlineStr">
        <is>
          <t>Standard response window</t>
        </is>
      </c>
      <c r="AA214" t="inlineStr">
        <is>
          <t>Specific card overrides general rules</t>
        </is>
      </c>
      <c r="AB214" t="inlineStr">
        <is>
          <t>Full card scan read; behaviour paraphrased (no card text copied)</t>
        </is>
      </c>
      <c r="AC214" t="inlineStr">
        <is>
          <t>FUNCTIONALLY COMPLETE</t>
        </is>
      </c>
      <c r="AD214" t="inlineStr">
        <is>
          <t>None</t>
        </is>
      </c>
      <c r="AE214" t="inlineStr">
        <is>
          <t>Card scan (GitHub: Cha0smagick/Virtual-Illuminati-New-World-order-INWO-game), read Sep 2026</t>
        </is>
      </c>
      <c r="AF214" t="inlineStr">
        <is>
          <t>N/A</t>
        </is>
      </c>
      <c r="AG214" t="inlineStr">
        <is>
          <t>N/A</t>
        </is>
      </c>
      <c r="AH214" t="inlineStr">
        <is>
          <t>N/A</t>
        </is>
      </c>
      <c r="AI214" t="inlineStr">
        <is>
          <t>N/A</t>
        </is>
      </c>
      <c r="AJ214" t="inlineStr">
        <is>
          <t>N/A</t>
        </is>
      </c>
      <c r="AK214" t="inlineStr">
        <is>
          <t>Official rules: non-Group card types do not use normal Group control-arrow geometry.</t>
        </is>
      </c>
    </row>
    <row r="215" ht="34" customHeight="1" s="16">
      <c r="A215" s="20" t="inlineStr">
        <is>
          <t>Bimbo at Eleven</t>
        </is>
      </c>
      <c r="B215" s="20" t="inlineStr">
        <is>
          <t>Plot</t>
        </is>
      </c>
      <c r="C215" s="20" t="inlineStr">
        <is>
          <t>Plot</t>
        </is>
      </c>
      <c r="D215" s="20" t="inlineStr">
        <is>
          <t>Common</t>
        </is>
      </c>
      <c r="E215" s="20" t="str"/>
      <c r="F215" s="20" t="str"/>
      <c r="G215" s="20" t="str"/>
      <c r="H215" s="20" t="str"/>
      <c r="I215" s="20" t="inlineStr">
        <is>
          <t>+5 to an Attack to Destroy a male Personality made by a Media group. The attack becomes Privileged except that any Media group may interfere on either side. If it succeeds, the Personality is permanently removed and can never be returned to play by any means.</t>
        </is>
      </c>
      <c r="J215" s="20" t="inlineStr">
        <is>
          <t>Needs rules-engine encoding</t>
        </is>
      </c>
      <c r="K215" s="20" t="inlineStr">
        <is>
          <t>High</t>
        </is>
      </c>
      <c r="L215" s="20" t="str"/>
      <c r="M215" s="20" t="inlineStr">
        <is>
          <t>https://github.com/Cha0smagick/Virtual-Illuminati-New-World-order-INWO-game</t>
        </is>
      </c>
      <c r="N215" t="inlineStr">
        <is>
          <t>When a Media group makes an Attack to Destroy a male Personality</t>
        </is>
      </c>
      <c r="O215" t="inlineStr">
        <is>
          <t>Any male Personality</t>
        </is>
      </c>
      <c r="P215" t="inlineStr">
        <is>
          <t>None (attack uses the Media group's action)</t>
        </is>
      </c>
      <c r="Q215" t="inlineStr">
        <is>
          <t>Immediate</t>
        </is>
      </c>
      <c r="R215" t="inlineStr">
        <is>
          <t>+5 to attack; Privileged (Media groups may still interfere); on success target cannot return to play</t>
        </is>
      </c>
      <c r="S215" t="inlineStr">
        <is>
          <t>NO</t>
        </is>
      </c>
      <c r="T215" t="inlineStr">
        <is>
          <t>N/A</t>
        </is>
      </c>
      <c r="U215" t="inlineStr">
        <is>
          <t>N/A</t>
        </is>
      </c>
      <c r="V215" t="inlineStr">
        <is>
          <t>N/A — INWO uses Plots instead of group income/money</t>
        </is>
      </c>
      <c r="W215" t="inlineStr">
        <is>
          <t>N/A</t>
        </is>
      </c>
      <c r="X215" t="inlineStr">
        <is>
          <t>No card-specific limit (base duplicate rules apply)</t>
        </is>
      </c>
      <c r="Y215" t="inlineStr">
        <is>
          <t>Attacking group must be Media; target must be a male Personality</t>
        </is>
      </c>
      <c r="Z215" t="inlineStr">
        <is>
          <t>Privileged: only Media groups may interfere, on either side</t>
        </is>
      </c>
      <c r="AA215" t="inlineStr">
        <is>
          <t>Specific card overrides general rules</t>
        </is>
      </c>
      <c r="AB215" t="inlineStr">
        <is>
          <t>Full card scan read; behaviour paraphrased (no card text copied)</t>
        </is>
      </c>
      <c r="AC215" t="inlineStr">
        <is>
          <t>FUNCTIONALLY COMPLETE</t>
        </is>
      </c>
      <c r="AD215" t="inlineStr">
        <is>
          <t>None</t>
        </is>
      </c>
      <c r="AE215" t="inlineStr">
        <is>
          <t>Card scan (GitHub: Cha0smagick/Virtual-Illuminati-New-World-order-INWO-game), read Sep 2026</t>
        </is>
      </c>
      <c r="AF215" t="inlineStr">
        <is>
          <t>N/A</t>
        </is>
      </c>
      <c r="AG215" t="inlineStr">
        <is>
          <t>N/A</t>
        </is>
      </c>
      <c r="AH215" t="inlineStr">
        <is>
          <t>N/A</t>
        </is>
      </c>
      <c r="AI215" t="inlineStr">
        <is>
          <t>N/A</t>
        </is>
      </c>
      <c r="AJ215" t="inlineStr">
        <is>
          <t>N/A</t>
        </is>
      </c>
      <c r="AK215" t="inlineStr">
        <is>
          <t>Official rules: non-Group card types do not use normal Group control-arrow geometry.</t>
        </is>
      </c>
    </row>
    <row r="216" ht="34" customHeight="1" s="16">
      <c r="A216" s="20" t="inlineStr">
        <is>
          <t>Blitzkrieg</t>
        </is>
      </c>
      <c r="B216" s="20" t="inlineStr">
        <is>
          <t>Plot</t>
        </is>
      </c>
      <c r="C216" s="20" t="inlineStr">
        <is>
          <t>Plot</t>
        </is>
      </c>
      <c r="D216" s="20" t="inlineStr">
        <is>
          <t>Rare</t>
        </is>
      </c>
      <c r="E216" s="20" t="str"/>
      <c r="F216" s="20" t="str"/>
      <c r="G216" s="20" t="str"/>
      <c r="H216" s="20" t="str"/>
      <c r="I216" s="20" t="inlineStr">
        <is>
          <t>After you gain control of any Group, put an Action token on that newly captured Group so it can act on the same turn it was taken over.</t>
        </is>
      </c>
      <c r="J216" s="20" t="inlineStr">
        <is>
          <t>Needs rules-engine encoding</t>
        </is>
      </c>
      <c r="K216" s="20" t="inlineStr">
        <is>
          <t>High</t>
        </is>
      </c>
      <c r="L216" s="20" t="str"/>
      <c r="M216" s="20" t="inlineStr">
        <is>
          <t>https://github.com/Cha0smagick/Virtual-Illuminati-New-World-order-INWO-game</t>
        </is>
      </c>
      <c r="N216" t="inlineStr">
        <is>
          <t>After you take control of a Group</t>
        </is>
      </c>
      <c r="O216" t="inlineStr">
        <is>
          <t>The Group you just took control of</t>
        </is>
      </c>
      <c r="P216" t="inlineStr">
        <is>
          <t>None</t>
        </is>
      </c>
      <c r="Q216" t="inlineStr">
        <is>
          <t>Immediate</t>
        </is>
      </c>
      <c r="R216" t="inlineStr">
        <is>
          <t>+1 Action token on newly controlled group (can act this turn)</t>
        </is>
      </c>
      <c r="S216" t="inlineStr">
        <is>
          <t>NO</t>
        </is>
      </c>
      <c r="T216" t="inlineStr">
        <is>
          <t>N/A</t>
        </is>
      </c>
      <c r="U216" t="inlineStr">
        <is>
          <t>N/A</t>
        </is>
      </c>
      <c r="V216" t="inlineStr">
        <is>
          <t>N/A — INWO uses Plots instead of group income/money</t>
        </is>
      </c>
      <c r="W216" t="inlineStr">
        <is>
          <t>N/A</t>
        </is>
      </c>
      <c r="X216" t="inlineStr">
        <is>
          <t>No card-specific limit (base duplicate rules apply)</t>
        </is>
      </c>
      <c r="Y216" t="inlineStr">
        <is>
          <t>You just took control of a Group</t>
        </is>
      </c>
      <c r="Z216" t="inlineStr">
        <is>
          <t>Standard response window</t>
        </is>
      </c>
      <c r="AA216" t="inlineStr">
        <is>
          <t>Specific card overrides general rules</t>
        </is>
      </c>
      <c r="AB216" t="inlineStr">
        <is>
          <t>Full card scan read; behaviour paraphrased (no card text copied)</t>
        </is>
      </c>
      <c r="AC216" t="inlineStr">
        <is>
          <t>FUNCTIONALLY COMPLETE</t>
        </is>
      </c>
      <c r="AD216" t="inlineStr">
        <is>
          <t>None</t>
        </is>
      </c>
      <c r="AE216" t="inlineStr">
        <is>
          <t>Card scan (GitHub: Cha0smagick/Virtual-Illuminati-New-World-order-INWO-game), read Sep 2026</t>
        </is>
      </c>
      <c r="AF216" t="inlineStr">
        <is>
          <t>N/A</t>
        </is>
      </c>
      <c r="AG216" t="inlineStr">
        <is>
          <t>N/A</t>
        </is>
      </c>
      <c r="AH216" t="inlineStr">
        <is>
          <t>N/A</t>
        </is>
      </c>
      <c r="AI216" t="inlineStr">
        <is>
          <t>N/A</t>
        </is>
      </c>
      <c r="AJ216" t="inlineStr">
        <is>
          <t>N/A</t>
        </is>
      </c>
      <c r="AK216" t="inlineStr">
        <is>
          <t>Official rules: non-Group card types do not use normal Group control-arrow geometry.</t>
        </is>
      </c>
    </row>
    <row r="217" ht="34" customHeight="1" s="16">
      <c r="A217" s="20" t="inlineStr">
        <is>
          <t>Blood, Toil, Tears and Sweat</t>
        </is>
      </c>
      <c r="B217" s="20" t="inlineStr">
        <is>
          <t>Plot</t>
        </is>
      </c>
      <c r="C217" s="20" t="inlineStr">
        <is>
          <t>Plot</t>
        </is>
      </c>
      <c r="D217" s="20" t="inlineStr">
        <is>
          <t>Common</t>
        </is>
      </c>
      <c r="E217" s="20" t="str"/>
      <c r="F217" s="20" t="str"/>
      <c r="G217" s="20" t="str"/>
      <c r="H217" s="20" t="str"/>
      <c r="I217" s="20" t="inlineStr">
        <is>
          <t>Discard one New World Order card currently in play. Requires actions from Media groups whose combined Power is at least 4.</t>
        </is>
      </c>
      <c r="J217" s="20" t="inlineStr">
        <is>
          <t>Needs rules-engine encoding</t>
        </is>
      </c>
      <c r="K217" s="20" t="inlineStr">
        <is>
          <t>High</t>
        </is>
      </c>
      <c r="L217" s="20" t="str"/>
      <c r="M217" s="20" t="inlineStr">
        <is>
          <t>https://github.com/Cha0smagick/Virtual-Illuminati-New-World-order-INWO-game</t>
        </is>
      </c>
      <c r="N217" t="inlineStr">
        <is>
          <t>Play at any time</t>
        </is>
      </c>
      <c r="O217" t="inlineStr">
        <is>
          <t>Any one NWO card in play</t>
        </is>
      </c>
      <c r="P217" t="inlineStr">
        <is>
          <t>Action(s) of Media group(s) with total Power &gt;= 4</t>
        </is>
      </c>
      <c r="Q217" t="inlineStr">
        <is>
          <t>Immediate</t>
        </is>
      </c>
      <c r="R217" t="inlineStr">
        <is>
          <t>Discard 1 NWO in play</t>
        </is>
      </c>
      <c r="S217" t="inlineStr">
        <is>
          <t>NO</t>
        </is>
      </c>
      <c r="T217" t="inlineStr">
        <is>
          <t>N/A</t>
        </is>
      </c>
      <c r="U217" t="inlineStr">
        <is>
          <t>N/A</t>
        </is>
      </c>
      <c r="V217" t="inlineStr">
        <is>
          <t>N/A — INWO uses Plots instead of group income/money</t>
        </is>
      </c>
      <c r="W217" t="inlineStr">
        <is>
          <t>N/A</t>
        </is>
      </c>
      <c r="X217" t="inlineStr">
        <is>
          <t>No card-specific limit (base duplicate rules apply)</t>
        </is>
      </c>
      <c r="Y217" t="inlineStr">
        <is>
          <t>Media groups with combined Power of 4+ available to act</t>
        </is>
      </c>
      <c r="Z217" t="inlineStr">
        <is>
          <t>Standard response window</t>
        </is>
      </c>
      <c r="AA217" t="inlineStr">
        <is>
          <t>Specific card overrides general rules</t>
        </is>
      </c>
      <c r="AB217" t="inlineStr">
        <is>
          <t>Full card scan read; behaviour paraphrased (no card text copied)</t>
        </is>
      </c>
      <c r="AC217" t="inlineStr">
        <is>
          <t>FUNCTIONALLY COMPLETE</t>
        </is>
      </c>
      <c r="AD217" t="inlineStr">
        <is>
          <t>None</t>
        </is>
      </c>
      <c r="AE217" t="inlineStr">
        <is>
          <t>Card scan (GitHub: Cha0smagick/Virtual-Illuminati-New-World-order-INWO-game), read Sep 2026</t>
        </is>
      </c>
      <c r="AF217" t="inlineStr">
        <is>
          <t>N/A</t>
        </is>
      </c>
      <c r="AG217" t="inlineStr">
        <is>
          <t>N/A</t>
        </is>
      </c>
      <c r="AH217" t="inlineStr">
        <is>
          <t>N/A</t>
        </is>
      </c>
      <c r="AI217" t="inlineStr">
        <is>
          <t>N/A</t>
        </is>
      </c>
      <c r="AJ217" t="inlineStr">
        <is>
          <t>N/A</t>
        </is>
      </c>
      <c r="AK217" t="inlineStr">
        <is>
          <t>Official rules: non-Group card types do not use normal Group control-arrow geometry.</t>
        </is>
      </c>
    </row>
    <row r="218" ht="34" customHeight="1" s="16">
      <c r="A218" s="20" t="inlineStr">
        <is>
          <t>Bodyguard</t>
        </is>
      </c>
      <c r="B218" s="20" t="inlineStr">
        <is>
          <t>Plot</t>
        </is>
      </c>
      <c r="C218" s="20" t="inlineStr">
        <is>
          <t>Plot</t>
        </is>
      </c>
      <c r="D218" s="20" t="inlineStr">
        <is>
          <t>Rare</t>
        </is>
      </c>
      <c r="E218" s="20" t="str"/>
      <c r="F218" s="20" t="str"/>
      <c r="G218" s="20" t="str"/>
      <c r="H218" s="20" t="str"/>
      <c r="I218" s="20" t="inlineStr">
        <is>
          <t>Play once someone attempts an Assassination: that attempt fails automatically. Then link Bodyguard to the Personality it saved for the rest of the game; that Personality gets +6 to resist Attacks to Destroy, Assassinations included. Bodyguard goes with the Personality if it dies or is destroyed.</t>
        </is>
      </c>
      <c r="J218" s="20" t="inlineStr">
        <is>
          <t>Needs rules-engine encoding</t>
        </is>
      </c>
      <c r="K218" s="20" t="inlineStr">
        <is>
          <t>High</t>
        </is>
      </c>
      <c r="L218" s="20" t="inlineStr">
        <is>
          <t>Protected Personality may belong to any player.</t>
        </is>
      </c>
      <c r="M218" s="20" t="inlineStr">
        <is>
          <t>https://github.com/Cha0smagick/Virtual-Illuminati-New-World-order-INWO-game</t>
        </is>
      </c>
      <c r="N218" t="inlineStr">
        <is>
          <t>After any Assassination is played</t>
        </is>
      </c>
      <c r="O218" t="inlineStr">
        <is>
          <t>The Assassination and the Personality it targets</t>
        </is>
      </c>
      <c r="P218" t="inlineStr">
        <is>
          <t>None</t>
        </is>
      </c>
      <c r="Q218" t="inlineStr">
        <is>
          <t>Immediate cancel; +6 bonus permanent while linked</t>
        </is>
      </c>
      <c r="R218" t="inlineStr">
        <is>
          <t>Assassination auto-fails; link to Personality; +6 defense vs Attempts to Destroy</t>
        </is>
      </c>
      <c r="S218" t="inlineStr">
        <is>
          <t>NO</t>
        </is>
      </c>
      <c r="T218" t="inlineStr">
        <is>
          <t>N/A</t>
        </is>
      </c>
      <c r="U218" t="inlineStr">
        <is>
          <t>N/A</t>
        </is>
      </c>
      <c r="V218" t="inlineStr">
        <is>
          <t>N/A — INWO uses Plots instead of group income/money</t>
        </is>
      </c>
      <c r="W218" t="inlineStr">
        <is>
          <t>N/A</t>
        </is>
      </c>
      <c r="X218" t="inlineStr">
        <is>
          <t>No card-specific limit (base duplicate rules apply)</t>
        </is>
      </c>
      <c r="Y218" t="inlineStr">
        <is>
          <t>An Assassination of any type was just played</t>
        </is>
      </c>
      <c r="Z218" t="inlineStr">
        <is>
          <t>Standard response window</t>
        </is>
      </c>
      <c r="AA218" t="inlineStr">
        <is>
          <t>Specific card overrides general rules</t>
        </is>
      </c>
      <c r="AB218" t="inlineStr">
        <is>
          <t>Full card scan read; behaviour paraphrased (no card text copied)</t>
        </is>
      </c>
      <c r="AC218" t="inlineStr">
        <is>
          <t>FUNCTIONALLY COMPLETE</t>
        </is>
      </c>
      <c r="AD218" t="inlineStr">
        <is>
          <t>None</t>
        </is>
      </c>
      <c r="AE218" t="inlineStr">
        <is>
          <t>Card scan (GitHub: Cha0smagick/Virtual-Illuminati-New-World-order-INWO-game), read Sep 2026</t>
        </is>
      </c>
      <c r="AF218" t="inlineStr">
        <is>
          <t>N/A</t>
        </is>
      </c>
      <c r="AG218" t="inlineStr">
        <is>
          <t>N/A</t>
        </is>
      </c>
      <c r="AH218" t="inlineStr">
        <is>
          <t>N/A</t>
        </is>
      </c>
      <c r="AI218" t="inlineStr">
        <is>
          <t>N/A</t>
        </is>
      </c>
      <c r="AJ218" t="inlineStr">
        <is>
          <t>N/A</t>
        </is>
      </c>
      <c r="AK218" t="inlineStr">
        <is>
          <t>Official rules: non-Group card types do not use normal Group control-arrow geometry.</t>
        </is>
      </c>
    </row>
    <row r="219" ht="34" customHeight="1" s="16">
      <c r="A219" s="20" t="inlineStr">
        <is>
          <t>Botched Contact</t>
        </is>
      </c>
      <c r="B219" s="20" t="inlineStr">
        <is>
          <t>Plot</t>
        </is>
      </c>
      <c r="C219" s="20" t="inlineStr">
        <is>
          <t>Plot</t>
        </is>
      </c>
      <c r="D219" s="20" t="inlineStr">
        <is>
          <t>Uncommon</t>
        </is>
      </c>
      <c r="E219" s="20" t="str"/>
      <c r="F219" s="20" t="str"/>
      <c r="G219" s="20" t="str"/>
      <c r="H219" s="20" t="str"/>
      <c r="I219" s="20" t="inlineStr">
        <is>
          <t>Play when a rival uses a Group card for his automatic takeover. He returns that Group to his hand and must pick another card for this turn's automatic takeover. Costs the action of one of your groups.</t>
        </is>
      </c>
      <c r="J219" s="20" t="inlineStr">
        <is>
          <t>Needs rules-engine encoding</t>
        </is>
      </c>
      <c r="K219" s="20" t="inlineStr">
        <is>
          <t>High</t>
        </is>
      </c>
      <c r="L219" s="20" t="str"/>
      <c r="M219" s="20" t="inlineStr">
        <is>
          <t>https://github.com/Cha0smagick/Virtual-Illuminati-New-World-order-INWO-game</t>
        </is>
      </c>
      <c r="N219" t="inlineStr">
        <is>
          <t>In response to a rival playing a Group for automatic takeover</t>
        </is>
      </c>
      <c r="O219" t="inlineStr">
        <is>
          <t>The rival's automatic-takeover Group</t>
        </is>
      </c>
      <c r="P219" t="inlineStr">
        <is>
          <t>Action of one of your groups</t>
        </is>
      </c>
      <c r="Q219" t="inlineStr">
        <is>
          <t>Immediate (this turn)</t>
        </is>
      </c>
      <c r="R219" t="inlineStr">
        <is>
          <t>Return played Group to rival's hand; rival must choose another card for auto takeover</t>
        </is>
      </c>
      <c r="S219" t="inlineStr">
        <is>
          <t>NO</t>
        </is>
      </c>
      <c r="T219" t="inlineStr">
        <is>
          <t>N/A</t>
        </is>
      </c>
      <c r="U219" t="inlineStr">
        <is>
          <t>N/A</t>
        </is>
      </c>
      <c r="V219" t="inlineStr">
        <is>
          <t>N/A — INWO uses Plots instead of group income/money</t>
        </is>
      </c>
      <c r="W219" t="inlineStr">
        <is>
          <t>N/A</t>
        </is>
      </c>
      <c r="X219" t="inlineStr">
        <is>
          <t>No card-specific limit (base duplicate rules apply)</t>
        </is>
      </c>
      <c r="Y219" t="inlineStr">
        <is>
          <t>A rival has just played a Group for automatic takeover</t>
        </is>
      </c>
      <c r="Z219" t="inlineStr">
        <is>
          <t>Standard response window</t>
        </is>
      </c>
      <c r="AA219" t="inlineStr">
        <is>
          <t>Specific card overrides general rules</t>
        </is>
      </c>
      <c r="AB219" t="inlineStr">
        <is>
          <t>Full card scan read; behaviour paraphrased (no card text copied)</t>
        </is>
      </c>
      <c r="AC219" t="inlineStr">
        <is>
          <t>FUNCTIONALLY COMPLETE</t>
        </is>
      </c>
      <c r="AD219" t="inlineStr">
        <is>
          <t>None</t>
        </is>
      </c>
      <c r="AE219" t="inlineStr">
        <is>
          <t>Card scan (GitHub: Cha0smagick/Virtual-Illuminati-New-World-order-INWO-game), read Sep 2026</t>
        </is>
      </c>
      <c r="AF219" t="inlineStr">
        <is>
          <t>N/A</t>
        </is>
      </c>
      <c r="AG219" t="inlineStr">
        <is>
          <t>N/A</t>
        </is>
      </c>
      <c r="AH219" t="inlineStr">
        <is>
          <t>N/A</t>
        </is>
      </c>
      <c r="AI219" t="inlineStr">
        <is>
          <t>N/A</t>
        </is>
      </c>
      <c r="AJ219" t="inlineStr">
        <is>
          <t>N/A</t>
        </is>
      </c>
      <c r="AK219" t="inlineStr">
        <is>
          <t>Official rules: non-Group card types do not use normal Group control-arrow geometry.</t>
        </is>
      </c>
    </row>
    <row r="220" ht="34" customHeight="1" s="16">
      <c r="A220" s="20" t="inlineStr">
        <is>
          <t>Bribery</t>
        </is>
      </c>
      <c r="B220" s="20" t="inlineStr">
        <is>
          <t>Plot</t>
        </is>
      </c>
      <c r="C220" s="20" t="inlineStr">
        <is>
          <t>Plot</t>
        </is>
      </c>
      <c r="D220" s="20" t="inlineStr">
        <is>
          <t>Uncommon</t>
        </is>
      </c>
      <c r="E220" s="20" t="str"/>
      <c r="F220" s="20" t="str"/>
      <c r="G220" s="20" t="str"/>
      <c r="H220" s="20" t="str"/>
      <c r="I220" s="20" t="inlineStr">
        <is>
          <t>Played right after any player's die roll; that roll is retroactively changed to 2. If it was an attack roll, the attack succeeds only if its net Power was at least 2. Requires spending every Action token currently on your Illuminati (at least 1).</t>
        </is>
      </c>
      <c r="J220" s="20" t="inlineStr">
        <is>
          <t>Needs rules-engine encoding</t>
        </is>
      </c>
      <c r="K220" s="20" t="inlineStr">
        <is>
          <t>High</t>
        </is>
      </c>
      <c r="L220" s="20" t="str"/>
      <c r="M220" s="20" t="inlineStr">
        <is>
          <t>https://github.com/Cha0smagick/Virtual-Illuminati-New-World-order-INWO-game</t>
        </is>
      </c>
      <c r="N220" t="inlineStr">
        <is>
          <t>As soon as any player rolls the dice</t>
        </is>
      </c>
      <c r="O220" t="inlineStr">
        <is>
          <t>The die roll just made</t>
        </is>
      </c>
      <c r="P220" t="inlineStr">
        <is>
          <t>All Action tokens on your Illuminati (minimum 1)</t>
        </is>
      </c>
      <c r="Q220" t="inlineStr">
        <is>
          <t>Immediate</t>
        </is>
      </c>
      <c r="R220" t="inlineStr">
        <is>
          <t>Set roll = 2; attack succeeds only if net Power &gt;= 2</t>
        </is>
      </c>
      <c r="S220" t="inlineStr">
        <is>
          <t>NO</t>
        </is>
      </c>
      <c r="T220" t="inlineStr">
        <is>
          <t>N/A</t>
        </is>
      </c>
      <c r="U220" t="inlineStr">
        <is>
          <t>N/A</t>
        </is>
      </c>
      <c r="V220" t="inlineStr">
        <is>
          <t>N/A — INWO uses Plots instead of group income/money</t>
        </is>
      </c>
      <c r="W220" t="inlineStr">
        <is>
          <t>N/A</t>
        </is>
      </c>
      <c r="X220" t="inlineStr">
        <is>
          <t>No card-specific limit (base duplicate rules apply)</t>
        </is>
      </c>
      <c r="Y220" t="inlineStr">
        <is>
          <t>Your Illuminati must have at least 1 Action token</t>
        </is>
      </c>
      <c r="Z220" t="inlineStr">
        <is>
          <t>Standard response window</t>
        </is>
      </c>
      <c r="AA220" t="inlineStr">
        <is>
          <t>Specific card overrides general rules</t>
        </is>
      </c>
      <c r="AB220" t="inlineStr">
        <is>
          <t>Full card scan read; behaviour paraphrased (no card text copied)</t>
        </is>
      </c>
      <c r="AC220" t="inlineStr">
        <is>
          <t>FUNCTIONALLY COMPLETE</t>
        </is>
      </c>
      <c r="AD220" t="inlineStr">
        <is>
          <t>None</t>
        </is>
      </c>
      <c r="AE220" t="inlineStr">
        <is>
          <t>Card scan (GitHub: Cha0smagick/Virtual-Illuminati-New-World-order-INWO-game), read Sep 2026</t>
        </is>
      </c>
      <c r="AF220" t="inlineStr">
        <is>
          <t>N/A</t>
        </is>
      </c>
      <c r="AG220" t="inlineStr">
        <is>
          <t>N/A</t>
        </is>
      </c>
      <c r="AH220" t="inlineStr">
        <is>
          <t>N/A</t>
        </is>
      </c>
      <c r="AI220" t="inlineStr">
        <is>
          <t>N/A</t>
        </is>
      </c>
      <c r="AJ220" t="inlineStr">
        <is>
          <t>N/A</t>
        </is>
      </c>
      <c r="AK220" t="inlineStr">
        <is>
          <t>Official rules: non-Group card types do not use normal Group control-arrow geometry.</t>
        </is>
      </c>
    </row>
    <row r="221" ht="34" customHeight="1" s="16">
      <c r="A221" s="20" t="inlineStr">
        <is>
          <t>Car Bomb</t>
        </is>
      </c>
      <c r="B221" s="20" t="inlineStr">
        <is>
          <t>Plot</t>
        </is>
      </c>
      <c r="C221" s="20" t="inlineStr">
        <is>
          <t>Assassination</t>
        </is>
      </c>
      <c r="D221" s="20" t="inlineStr">
        <is>
          <t>Common</t>
        </is>
      </c>
      <c r="E221" s="20" t="inlineStr">
        <is>
          <t>8</t>
        </is>
      </c>
      <c r="F221" s="20" t="str"/>
      <c r="G221" s="20" t="str"/>
      <c r="H221" s="20" t="str"/>
      <c r="I221" s="20" t="inlineStr">
        <is>
          <t>Assassination: Instant Attack to Destroy any Personality, usable at any time without an action, with Power 8. One Violent or Criminal group may optionally spend its action on this attack to add its own Power.</t>
        </is>
      </c>
      <c r="J221" s="20" t="inlineStr">
        <is>
          <t>Needs rules-engine encoding</t>
        </is>
      </c>
      <c r="K221" s="20" t="inlineStr">
        <is>
          <t>High</t>
        </is>
      </c>
      <c r="L221" s="20" t="str"/>
      <c r="M221" s="20" t="inlineStr">
        <is>
          <t>https://github.com/Cha0smagick/Virtual-Illuminati-New-World-order-INWO-game</t>
        </is>
      </c>
      <c r="N221" t="inlineStr">
        <is>
          <t>Play at any time; no action required</t>
        </is>
      </c>
      <c r="O221" t="inlineStr">
        <is>
          <t>Any Personality</t>
        </is>
      </c>
      <c r="P221" t="inlineStr">
        <is>
          <t>None (optional: action of one Violent or Criminal group)</t>
        </is>
      </c>
      <c r="Q221" t="inlineStr">
        <is>
          <t>Immediate</t>
        </is>
      </c>
      <c r="R221" t="inlineStr">
        <is>
          <t>Instant Attack to Destroy, Power 8 (+ Power of one optional Violent/Criminal group)</t>
        </is>
      </c>
      <c r="S221" t="inlineStr">
        <is>
          <t>NO</t>
        </is>
      </c>
      <c r="T221" t="inlineStr">
        <is>
          <t>N/A</t>
        </is>
      </c>
      <c r="U221" t="inlineStr">
        <is>
          <t>N/A</t>
        </is>
      </c>
      <c r="V221" t="inlineStr">
        <is>
          <t>N/A — INWO uses Plots instead of group income/money</t>
        </is>
      </c>
      <c r="W221" t="inlineStr">
        <is>
          <t>N/A</t>
        </is>
      </c>
      <c r="X221" t="inlineStr">
        <is>
          <t>No card-specific limit (base duplicate rules apply)</t>
        </is>
      </c>
      <c r="Y221" t="inlineStr">
        <is>
          <t>None beyond base rules</t>
        </is>
      </c>
      <c r="Z221" t="inlineStr">
        <is>
          <t>Standard response window</t>
        </is>
      </c>
      <c r="AA221" t="inlineStr">
        <is>
          <t>Specific card overrides general rules</t>
        </is>
      </c>
      <c r="AB221" t="inlineStr">
        <is>
          <t>Full card scan read; behaviour paraphrased (no card text copied)</t>
        </is>
      </c>
      <c r="AC221" t="inlineStr">
        <is>
          <t>FUNCTIONALLY COMPLETE</t>
        </is>
      </c>
      <c r="AD221" t="inlineStr">
        <is>
          <t>None</t>
        </is>
      </c>
      <c r="AE221" t="inlineStr">
        <is>
          <t>Card scan (GitHub: Cha0smagick/Virtual-Illuminati-New-World-order-INWO-game), read Sep 2026</t>
        </is>
      </c>
      <c r="AF221" t="inlineStr">
        <is>
          <t>N/A</t>
        </is>
      </c>
      <c r="AG221" t="inlineStr">
        <is>
          <t>N/A</t>
        </is>
      </c>
      <c r="AH221" t="inlineStr">
        <is>
          <t>N/A</t>
        </is>
      </c>
      <c r="AI221" t="inlineStr">
        <is>
          <t>N/A</t>
        </is>
      </c>
      <c r="AJ221" t="inlineStr">
        <is>
          <t>N/A</t>
        </is>
      </c>
      <c r="AK221" t="inlineStr">
        <is>
          <t>Official rules: non-Group card types do not use normal Group control-arrow geometry.</t>
        </is>
      </c>
    </row>
    <row r="222" ht="34" customHeight="1" s="16">
      <c r="A222" s="20" t="inlineStr">
        <is>
          <t>Celebrity Spokesman</t>
        </is>
      </c>
      <c r="B222" s="20" t="inlineStr">
        <is>
          <t>Plot</t>
        </is>
      </c>
      <c r="C222" s="20" t="inlineStr">
        <is>
          <t>Plot</t>
        </is>
      </c>
      <c r="D222" s="20" t="inlineStr">
        <is>
          <t>Uncommon</t>
        </is>
      </c>
      <c r="E222" s="20" t="str"/>
      <c r="F222" s="20" t="str"/>
      <c r="G222" s="20" t="str"/>
      <c r="H222" s="20" t="str"/>
      <c r="I222" s="20" t="inlineStr">
        <is>
          <t>Link one of your Personalities to an Organization that shows no opposing alignments and is not Secret and not Government; the Personality's Power is set to 4. The effect stops once either of the two linked cards is captured or destroyed. Not playable during an attack.</t>
        </is>
      </c>
      <c r="J222" s="20" t="inlineStr">
        <is>
          <t>Needs rules-engine encoding</t>
        </is>
      </c>
      <c r="K222" s="20" t="inlineStr">
        <is>
          <t>Medium</t>
        </is>
      </c>
      <c r="L222" s="20" t="inlineStr">
        <is>
          <t>'No opposed alignments' most likely means the Organization has no alignment opposed to the Personality's; card text does not specify. Organization ownership not restricted by the card.</t>
        </is>
      </c>
      <c r="M222" s="20" t="inlineStr">
        <is>
          <t>https://github.com/Cha0smagick/Virtual-Illuminati-New-World-order-INWO-game</t>
        </is>
      </c>
      <c r="N222" t="inlineStr">
        <is>
          <t>Any time except during an attack</t>
        </is>
      </c>
      <c r="O222" t="inlineStr">
        <is>
          <t>One Personality you control + one non-Secret, non-Government Organization with no opposed alignments</t>
        </is>
      </c>
      <c r="P222" t="inlineStr">
        <is>
          <t>None</t>
        </is>
      </c>
      <c r="Q222" t="inlineStr">
        <is>
          <t>Permanent while both cards remain (lost if either is captured or destroyed)</t>
        </is>
      </c>
      <c r="R222" t="inlineStr">
        <is>
          <t>Personality Power = 4; link Personality to Organization</t>
        </is>
      </c>
      <c r="S222" t="inlineStr">
        <is>
          <t>REVIEW</t>
        </is>
      </c>
      <c r="T222" t="inlineStr">
        <is>
          <t>N/A</t>
        </is>
      </c>
      <c r="U222" t="inlineStr">
        <is>
          <t>N/A</t>
        </is>
      </c>
      <c r="V222" t="inlineStr">
        <is>
          <t>N/A — INWO uses Plots instead of group income/money</t>
        </is>
      </c>
      <c r="W222" t="inlineStr">
        <is>
          <t>N/A</t>
        </is>
      </c>
      <c r="X222" t="inlineStr">
        <is>
          <t>No card-specific limit (base duplicate rules apply)</t>
        </is>
      </c>
      <c r="Y222" t="inlineStr">
        <is>
          <t>Not during an attack; Organization must not be Secret or Government and must have no opposed alignments</t>
        </is>
      </c>
      <c r="Z222" t="inlineStr">
        <is>
          <t>Standard response window</t>
        </is>
      </c>
      <c r="AA222" t="inlineStr">
        <is>
          <t>Specific card overrides general rules</t>
        </is>
      </c>
      <c r="AB222" t="inlineStr">
        <is>
          <t>Full card scan read; behaviour paraphrased (no card text copied)</t>
        </is>
      </c>
      <c r="AC222" t="inlineStr">
        <is>
          <t>COMPLETE — RULING NEEDED</t>
        </is>
      </c>
      <c r="AD222" t="inlineStr">
        <is>
          <t>Card wording is ambiguous; interpretation used is in Research Notes. Confirm or choose your own house ruling.</t>
        </is>
      </c>
      <c r="AE222" t="inlineStr">
        <is>
          <t>Card scan (GitHub: Cha0smagick/Virtual-Illuminati-New-World-order-INWO-game), read Sep 2026</t>
        </is>
      </c>
      <c r="AF222" t="inlineStr">
        <is>
          <t>N/A</t>
        </is>
      </c>
      <c r="AG222" t="inlineStr">
        <is>
          <t>N/A</t>
        </is>
      </c>
      <c r="AH222" t="inlineStr">
        <is>
          <t>N/A</t>
        </is>
      </c>
      <c r="AI222" t="inlineStr">
        <is>
          <t>N/A</t>
        </is>
      </c>
      <c r="AJ222" t="inlineStr">
        <is>
          <t>N/A</t>
        </is>
      </c>
      <c r="AK222" t="inlineStr">
        <is>
          <t>Official rules: non-Group card types do not use normal Group control-arrow geometry.</t>
        </is>
      </c>
    </row>
    <row r="223" ht="34" customHeight="1" s="16">
      <c r="A223" s="20" t="inlineStr">
        <is>
          <t>Censorship</t>
        </is>
      </c>
      <c r="B223" s="20" t="inlineStr">
        <is>
          <t>Plot</t>
        </is>
      </c>
      <c r="C223" s="20" t="inlineStr">
        <is>
          <t>Plot</t>
        </is>
      </c>
      <c r="D223" s="20" t="inlineStr">
        <is>
          <t>Uncommon</t>
        </is>
      </c>
      <c r="E223" s="20" t="str"/>
      <c r="F223" s="20" t="str"/>
      <c r="G223" s="20" t="str"/>
      <c r="H223" s="20" t="str"/>
      <c r="I223" s="20" t="inlineStr">
        <is>
          <t>Played by a Straight, Conservative, or Government group that makes or aids an attack against a Media group. The attack gets +15 Power and becomes Privileged.</t>
        </is>
      </c>
      <c r="J223" s="20" t="inlineStr">
        <is>
          <t>Needs rules-engine encoding</t>
        </is>
      </c>
      <c r="K223" s="20" t="inlineStr">
        <is>
          <t>High</t>
        </is>
      </c>
      <c r="L223" s="20" t="str"/>
      <c r="M223" s="20" t="inlineStr">
        <is>
          <t>https://github.com/Cha0smagick/Virtual-Illuminati-New-World-order-INWO-game</t>
        </is>
      </c>
      <c r="N223" t="inlineStr">
        <is>
          <t>During an attack on a Media group made or aided by a qualifying group</t>
        </is>
      </c>
      <c r="O223" t="inlineStr">
        <is>
          <t>An attack against a Media group</t>
        </is>
      </c>
      <c r="P223" t="inlineStr">
        <is>
          <t>None</t>
        </is>
      </c>
      <c r="Q223" t="inlineStr">
        <is>
          <t>Single attack</t>
        </is>
      </c>
      <c r="R223" t="inlineStr">
        <is>
          <t>+15 to attack; attack becomes Privileged</t>
        </is>
      </c>
      <c r="S223" t="inlineStr">
        <is>
          <t>NO</t>
        </is>
      </c>
      <c r="T223" t="inlineStr">
        <is>
          <t>N/A</t>
        </is>
      </c>
      <c r="U223" t="inlineStr">
        <is>
          <t>N/A</t>
        </is>
      </c>
      <c r="V223" t="inlineStr">
        <is>
          <t>N/A — INWO uses Plots instead of group income/money</t>
        </is>
      </c>
      <c r="W223" t="inlineStr">
        <is>
          <t>N/A</t>
        </is>
      </c>
      <c r="X223" t="inlineStr">
        <is>
          <t>No card-specific limit (base duplicate rules apply)</t>
        </is>
      </c>
      <c r="Y223" t="inlineStr">
        <is>
          <t>A Straight, Conservative, or Government group must be attacking or aiding; target must be Media</t>
        </is>
      </c>
      <c r="Z223" t="inlineStr">
        <is>
          <t>Attack is Privileged</t>
        </is>
      </c>
      <c r="AA223" t="inlineStr">
        <is>
          <t>Specific card overrides general rules</t>
        </is>
      </c>
      <c r="AB223" t="inlineStr">
        <is>
          <t>Full card scan read; behaviour paraphrased (no card text copied)</t>
        </is>
      </c>
      <c r="AC223" t="inlineStr">
        <is>
          <t>FUNCTIONALLY COMPLETE</t>
        </is>
      </c>
      <c r="AD223" t="inlineStr">
        <is>
          <t>None</t>
        </is>
      </c>
      <c r="AE223" t="inlineStr">
        <is>
          <t>Card scan (GitHub: Cha0smagick/Virtual-Illuminati-New-World-order-INWO-game), read Sep 2026</t>
        </is>
      </c>
      <c r="AF223" t="inlineStr">
        <is>
          <t>N/A</t>
        </is>
      </c>
      <c r="AG223" t="inlineStr">
        <is>
          <t>N/A</t>
        </is>
      </c>
      <c r="AH223" t="inlineStr">
        <is>
          <t>N/A</t>
        </is>
      </c>
      <c r="AI223" t="inlineStr">
        <is>
          <t>N/A</t>
        </is>
      </c>
      <c r="AJ223" t="inlineStr">
        <is>
          <t>N/A</t>
        </is>
      </c>
      <c r="AK223" t="inlineStr">
        <is>
          <t>Official rules: non-Group card types do not use normal Group control-arrow geometry.</t>
        </is>
      </c>
    </row>
    <row r="224" ht="34" customHeight="1" s="16">
      <c r="A224" s="20" t="inlineStr">
        <is>
          <t>Charismatic Leader</t>
        </is>
      </c>
      <c r="B224" s="20" t="inlineStr">
        <is>
          <t>Plot</t>
        </is>
      </c>
      <c r="C224" s="20" t="inlineStr">
        <is>
          <t>Plot</t>
        </is>
      </c>
      <c r="D224" s="20" t="inlineStr">
        <is>
          <t>Common</t>
        </is>
      </c>
      <c r="E224" s="20" t="str"/>
      <c r="F224" s="20" t="str"/>
      <c r="G224" s="20" t="str"/>
      <c r="H224" s="20" t="str"/>
      <c r="I224" s="20" t="inlineStr">
        <is>
          <t>Raises one Fanatic group's Power to 6, taking effect immediately, and links to that group. Playing it uses up that group's action. A player may have only one Charismatic Leader in play.</t>
        </is>
      </c>
      <c r="J224" s="20" t="inlineStr">
        <is>
          <t>Needs rules-engine encoding</t>
        </is>
      </c>
      <c r="K224" s="20" t="inlineStr">
        <is>
          <t>High</t>
        </is>
      </c>
      <c r="L224" s="20" t="inlineStr">
        <is>
          <t>Card does not explicitly require you control the group, but it spends the group's action, implying your own group.</t>
        </is>
      </c>
      <c r="M224" s="20" t="inlineStr">
        <is>
          <t>https://github.com/Cha0smagick/Virtual-Illuminati-New-World-order-INWO-game</t>
        </is>
      </c>
      <c r="N224" t="inlineStr">
        <is>
          <t>Play at any time</t>
        </is>
      </c>
      <c r="O224" t="inlineStr">
        <is>
          <t>One Fanatic group</t>
        </is>
      </c>
      <c r="P224" t="inlineStr">
        <is>
          <t>Action of the targeted Fanatic group</t>
        </is>
      </c>
      <c r="Q224" t="inlineStr">
        <is>
          <t>Permanent while linked</t>
        </is>
      </c>
      <c r="R224" t="inlineStr">
        <is>
          <t>Target Power = 6; link to target</t>
        </is>
      </c>
      <c r="S224" t="inlineStr">
        <is>
          <t>NO</t>
        </is>
      </c>
      <c r="T224" t="inlineStr">
        <is>
          <t>N/A</t>
        </is>
      </c>
      <c r="U224" t="inlineStr">
        <is>
          <t>N/A</t>
        </is>
      </c>
      <c r="V224" t="inlineStr">
        <is>
          <t>N/A — INWO uses Plots instead of group income/money</t>
        </is>
      </c>
      <c r="W224" t="inlineStr">
        <is>
          <t>N/A</t>
        </is>
      </c>
      <c r="X224" t="inlineStr">
        <is>
          <t>Limit per player: a single copy on the table</t>
        </is>
      </c>
      <c r="Y224" t="inlineStr">
        <is>
          <t>Target must be Fanatic with an available action</t>
        </is>
      </c>
      <c r="Z224" t="inlineStr">
        <is>
          <t>Standard response window</t>
        </is>
      </c>
      <c r="AA224" t="inlineStr">
        <is>
          <t>Specific card overrides general rules</t>
        </is>
      </c>
      <c r="AB224" t="inlineStr">
        <is>
          <t>Full card scan read; behaviour paraphrased (no card text copied)</t>
        </is>
      </c>
      <c r="AC224" t="inlineStr">
        <is>
          <t>FUNCTIONALLY COMPLETE</t>
        </is>
      </c>
      <c r="AD224" t="inlineStr">
        <is>
          <t>None</t>
        </is>
      </c>
      <c r="AE224" t="inlineStr">
        <is>
          <t>Card scan (GitHub: Cha0smagick/Virtual-Illuminati-New-World-order-INWO-game), read Sep 2026</t>
        </is>
      </c>
      <c r="AF224" t="inlineStr">
        <is>
          <t>N/A</t>
        </is>
      </c>
      <c r="AG224" t="inlineStr">
        <is>
          <t>N/A</t>
        </is>
      </c>
      <c r="AH224" t="inlineStr">
        <is>
          <t>N/A</t>
        </is>
      </c>
      <c r="AI224" t="inlineStr">
        <is>
          <t>N/A</t>
        </is>
      </c>
      <c r="AJ224" t="inlineStr">
        <is>
          <t>N/A</t>
        </is>
      </c>
      <c r="AK224" t="inlineStr">
        <is>
          <t>Official rules: non-Group card types do not use normal Group control-arrow geometry.</t>
        </is>
      </c>
    </row>
    <row r="225" ht="34" customHeight="1" s="16">
      <c r="A225" s="20" t="inlineStr">
        <is>
          <t>Citizenship Award</t>
        </is>
      </c>
      <c r="B225" s="20" t="inlineStr">
        <is>
          <t>Plot</t>
        </is>
      </c>
      <c r="C225" s="20" t="inlineStr">
        <is>
          <t>Plot</t>
        </is>
      </c>
      <c r="D225" s="20" t="inlineStr">
        <is>
          <t>Common</t>
        </is>
      </c>
      <c r="E225" s="20" t="str"/>
      <c r="F225" s="20" t="str"/>
      <c r="G225" s="20" t="str"/>
      <c r="H225" s="20" t="str"/>
      <c r="I225" s="20" t="inlineStr">
        <is>
          <t>Raises one Conservative group's Power to 6, taking effect immediately, and links to that group. Playing it uses up that group's action. A player may have only one Citizenship Award in play.</t>
        </is>
      </c>
      <c r="J225" s="20" t="inlineStr">
        <is>
          <t>Needs rules-engine encoding</t>
        </is>
      </c>
      <c r="K225" s="20" t="inlineStr">
        <is>
          <t>High</t>
        </is>
      </c>
      <c r="L225" s="20" t="inlineStr">
        <is>
          <t>Spending the group's action implies you control the group.</t>
        </is>
      </c>
      <c r="M225" s="20" t="inlineStr">
        <is>
          <t>https://github.com/Cha0smagick/Virtual-Illuminati-New-World-order-INWO-game</t>
        </is>
      </c>
      <c r="N225" t="inlineStr">
        <is>
          <t>Play at any time</t>
        </is>
      </c>
      <c r="O225" t="inlineStr">
        <is>
          <t>One Conservative group</t>
        </is>
      </c>
      <c r="P225" t="inlineStr">
        <is>
          <t>Action of the targeted Conservative group</t>
        </is>
      </c>
      <c r="Q225" t="inlineStr">
        <is>
          <t>Permanent while linked</t>
        </is>
      </c>
      <c r="R225" t="inlineStr">
        <is>
          <t>Target Power = 6; link to target</t>
        </is>
      </c>
      <c r="S225" t="inlineStr">
        <is>
          <t>NO</t>
        </is>
      </c>
      <c r="T225" t="inlineStr">
        <is>
          <t>N/A</t>
        </is>
      </c>
      <c r="U225" t="inlineStr">
        <is>
          <t>N/A</t>
        </is>
      </c>
      <c r="V225" t="inlineStr">
        <is>
          <t>N/A — INWO uses Plots instead of group income/money</t>
        </is>
      </c>
      <c r="W225" t="inlineStr">
        <is>
          <t>N/A</t>
        </is>
      </c>
      <c r="X225" t="inlineStr">
        <is>
          <t>Limit per player: a single copy on the table</t>
        </is>
      </c>
      <c r="Y225" t="inlineStr">
        <is>
          <t>Target must be Conservative with an available action</t>
        </is>
      </c>
      <c r="Z225" t="inlineStr">
        <is>
          <t>Standard response window</t>
        </is>
      </c>
      <c r="AA225" t="inlineStr">
        <is>
          <t>Specific card overrides general rules</t>
        </is>
      </c>
      <c r="AB225" t="inlineStr">
        <is>
          <t>Full card scan read; behaviour paraphrased (no card text copied)</t>
        </is>
      </c>
      <c r="AC225" t="inlineStr">
        <is>
          <t>FUNCTIONALLY COMPLETE</t>
        </is>
      </c>
      <c r="AD225" t="inlineStr">
        <is>
          <t>None</t>
        </is>
      </c>
      <c r="AE225" t="inlineStr">
        <is>
          <t>Card scan (GitHub: Cha0smagick/Virtual-Illuminati-New-World-order-INWO-game), read Sep 2026</t>
        </is>
      </c>
      <c r="AF225" t="inlineStr">
        <is>
          <t>N/A</t>
        </is>
      </c>
      <c r="AG225" t="inlineStr">
        <is>
          <t>N/A</t>
        </is>
      </c>
      <c r="AH225" t="inlineStr">
        <is>
          <t>N/A</t>
        </is>
      </c>
      <c r="AI225" t="inlineStr">
        <is>
          <t>N/A</t>
        </is>
      </c>
      <c r="AJ225" t="inlineStr">
        <is>
          <t>N/A</t>
        </is>
      </c>
      <c r="AK225" t="inlineStr">
        <is>
          <t>Official rules: non-Group card types do not use normal Group control-arrow geometry.</t>
        </is>
      </c>
    </row>
    <row r="226" ht="34" customHeight="1" s="16">
      <c r="A226" s="20" t="inlineStr">
        <is>
          <t>Clone</t>
        </is>
      </c>
      <c r="B226" s="20" t="inlineStr">
        <is>
          <t>Plot</t>
        </is>
      </c>
      <c r="C226" s="20" t="inlineStr">
        <is>
          <t>Plot</t>
        </is>
      </c>
      <c r="D226" s="20" t="inlineStr">
        <is>
          <t>Uncommon</t>
        </is>
      </c>
      <c r="E226" s="20" t="str"/>
      <c r="F226" s="20" t="str"/>
      <c r="G226" s="20" t="str"/>
      <c r="H226" s="20" t="str"/>
      <c r="I226" s="20" t="inlineStr">
        <is>
          <t>Lets you play from your hand a Personality card that duplicates one that was Assassinated; you then try to control it normally, or gain it automatically if you control the Clone Arrangers. The original Personality stops counting as destroyed for its killer's Goals.</t>
        </is>
      </c>
      <c r="J226" s="20" t="inlineStr">
        <is>
          <t>Needs rules-engine encoding</t>
        </is>
      </c>
      <c r="K226" s="20" t="inlineStr">
        <is>
          <t>High</t>
        </is>
      </c>
      <c r="L226" s="20" t="inlineStr">
        <is>
          <t>Only Personalities removed by Assassination qualify; exact play timing not stated beyond playing the Personality.</t>
        </is>
      </c>
      <c r="M226" s="20" t="inlineStr">
        <is>
          <t>https://github.com/Cha0smagick/Virtual-Illuminati-New-World-order-INWO-game</t>
        </is>
      </c>
      <c r="N226" t="inlineStr">
        <is>
          <t>Your turn, when playing a duplicate Personality from hand</t>
        </is>
      </c>
      <c r="O226" t="inlineStr">
        <is>
          <t>A duplicate of a Personality that was Assassinated</t>
        </is>
      </c>
      <c r="P226" t="inlineStr">
        <is>
          <t>None</t>
        </is>
      </c>
      <c r="Q226" t="inlineStr">
        <is>
          <t>Immediate (Goal credit removal is permanent)</t>
        </is>
      </c>
      <c r="R226" t="inlineStr">
        <is>
          <t>Allow duplicate of Assassinated Personality into play; auto-control if you control Clone Arrangers; revoke 'destroyed' Goal credit</t>
        </is>
      </c>
      <c r="S226" t="inlineStr">
        <is>
          <t>NO</t>
        </is>
      </c>
      <c r="T226" t="inlineStr">
        <is>
          <t>N/A</t>
        </is>
      </c>
      <c r="U226" t="inlineStr">
        <is>
          <t>N/A</t>
        </is>
      </c>
      <c r="V226" t="inlineStr">
        <is>
          <t>N/A — INWO uses Plots instead of group income/money</t>
        </is>
      </c>
      <c r="W226" t="inlineStr">
        <is>
          <t>N/A</t>
        </is>
      </c>
      <c r="X226" t="inlineStr">
        <is>
          <t>No card-specific limit (base duplicate rules apply)</t>
        </is>
      </c>
      <c r="Y226" t="inlineStr">
        <is>
          <t>You hold a duplicate of an Assassinated Personality in hand</t>
        </is>
      </c>
      <c r="Z226" t="inlineStr">
        <is>
          <t>Standard response window</t>
        </is>
      </c>
      <c r="AA226" t="inlineStr">
        <is>
          <t>Specific card overrides general rules</t>
        </is>
      </c>
      <c r="AB226" t="inlineStr">
        <is>
          <t>Full card scan read; behaviour paraphrased (no card text copied)</t>
        </is>
      </c>
      <c r="AC226" t="inlineStr">
        <is>
          <t>FUNCTIONALLY COMPLETE</t>
        </is>
      </c>
      <c r="AD226" t="inlineStr">
        <is>
          <t>None</t>
        </is>
      </c>
      <c r="AE226" t="inlineStr">
        <is>
          <t>Card scan (GitHub: Cha0smagick/Virtual-Illuminati-New-World-order-INWO-game), read Sep 2026</t>
        </is>
      </c>
      <c r="AF226" t="inlineStr">
        <is>
          <t>N/A</t>
        </is>
      </c>
      <c r="AG226" t="inlineStr">
        <is>
          <t>N/A</t>
        </is>
      </c>
      <c r="AH226" t="inlineStr">
        <is>
          <t>N/A</t>
        </is>
      </c>
      <c r="AI226" t="inlineStr">
        <is>
          <t>N/A</t>
        </is>
      </c>
      <c r="AJ226" t="inlineStr">
        <is>
          <t>N/A</t>
        </is>
      </c>
      <c r="AK226" t="inlineStr">
        <is>
          <t>Official rules: non-Group card types do not use normal Group control-arrow geometry.</t>
        </is>
      </c>
    </row>
    <row r="227" ht="34" customHeight="1" s="16">
      <c r="A227" s="20" t="inlineStr">
        <is>
          <t>Cold Fusion</t>
        </is>
      </c>
      <c r="B227" s="20" t="inlineStr">
        <is>
          <t>Plot</t>
        </is>
      </c>
      <c r="C227" s="20" t="inlineStr">
        <is>
          <t>Plot</t>
        </is>
      </c>
      <c r="D227" s="20" t="inlineStr">
        <is>
          <t>Common</t>
        </is>
      </c>
      <c r="E227" s="20" t="str"/>
      <c r="F227" s="20" t="str"/>
      <c r="G227" s="20" t="str"/>
      <c r="H227" s="20" t="str"/>
      <c r="I227" s="20" t="inlineStr">
        <is>
          <t>Grants +10 to either Power or Resistance (player chooses) of one Science group the player controls. When boosting an action, it must be played as the action is first announced and applies only to that action. When used defensively, the bonus lasts until the end of the current turn and is ignored when checking Goals.</t>
        </is>
      </c>
      <c r="J227" s="20" t="inlineStr">
        <is>
          <t>Needs rules-engine encoding</t>
        </is>
      </c>
      <c r="K227" s="20" t="inlineStr">
        <is>
          <t>High</t>
        </is>
      </c>
      <c r="L227" s="20" t="str"/>
      <c r="M227" s="20" t="inlineStr">
        <is>
          <t>https://github.com/Cha0smagick/Virtual-Illuminati-New-World-order-INWO-game</t>
        </is>
      </c>
      <c r="N227" t="inlineStr">
        <is>
          <t>Play at any time (with an action: at declaration)</t>
        </is>
      </c>
      <c r="O227" t="inlineStr">
        <is>
          <t>One Science group you control</t>
        </is>
      </c>
      <c r="P227" t="inlineStr">
        <is>
          <t>None</t>
        </is>
      </c>
      <c r="Q227" t="inlineStr">
        <is>
          <t>Single action if used with an action; until end of current turn if used for defense</t>
        </is>
      </c>
      <c r="R227" t="inlineStr">
        <is>
          <t>+10 Power or +10 Resistance (choice); defensive bonus excluded from Goal checks</t>
        </is>
      </c>
      <c r="S227" t="inlineStr">
        <is>
          <t>NO</t>
        </is>
      </c>
      <c r="T227" t="inlineStr">
        <is>
          <t>N/A</t>
        </is>
      </c>
      <c r="U227" t="inlineStr">
        <is>
          <t>N/A</t>
        </is>
      </c>
      <c r="V227" t="inlineStr">
        <is>
          <t>N/A — INWO uses Plots instead of group income/money</t>
        </is>
      </c>
      <c r="W227" t="inlineStr">
        <is>
          <t>N/A</t>
        </is>
      </c>
      <c r="X227" t="inlineStr">
        <is>
          <t>No card-specific limit (base duplicate rules apply)</t>
        </is>
      </c>
      <c r="Y227" t="inlineStr">
        <is>
          <t>Target must be a Science group you control; if supporting an action, must be played when that action is first declared</t>
        </is>
      </c>
      <c r="Z227" t="inlineStr">
        <is>
          <t>Standard response window</t>
        </is>
      </c>
      <c r="AA227" t="inlineStr">
        <is>
          <t>Specific card overrides general rules</t>
        </is>
      </c>
      <c r="AB227" t="inlineStr">
        <is>
          <t>Full card scan read; behaviour paraphrased (no card text copied)</t>
        </is>
      </c>
      <c r="AC227" t="inlineStr">
        <is>
          <t>FUNCTIONALLY COMPLETE</t>
        </is>
      </c>
      <c r="AD227" t="inlineStr">
        <is>
          <t>None</t>
        </is>
      </c>
      <c r="AE227" t="inlineStr">
        <is>
          <t>Card scan (GitHub: Cha0smagick/Virtual-Illuminati-New-World-order-INWO-game), read Sep 2026</t>
        </is>
      </c>
      <c r="AF227" t="inlineStr">
        <is>
          <t>N/A</t>
        </is>
      </c>
      <c r="AG227" t="inlineStr">
        <is>
          <t>N/A</t>
        </is>
      </c>
      <c r="AH227" t="inlineStr">
        <is>
          <t>N/A</t>
        </is>
      </c>
      <c r="AI227" t="inlineStr">
        <is>
          <t>N/A</t>
        </is>
      </c>
      <c r="AJ227" t="inlineStr">
        <is>
          <t>N/A</t>
        </is>
      </c>
      <c r="AK227" t="inlineStr">
        <is>
          <t>Official rules: non-Group card types do not use normal Group control-arrow geometry.</t>
        </is>
      </c>
    </row>
    <row r="228" ht="34" customHeight="1" s="16">
      <c r="A228" s="20" t="inlineStr">
        <is>
          <t>Combined Disasters</t>
        </is>
      </c>
      <c r="B228" s="20" t="inlineStr">
        <is>
          <t>Plot</t>
        </is>
      </c>
      <c r="C228" s="20" t="inlineStr">
        <is>
          <t>Plot</t>
        </is>
      </c>
      <c r="D228" s="20" t="inlineStr">
        <is>
          <t>Uncommon</t>
        </is>
      </c>
      <c r="E228" s="20" t="str"/>
      <c r="F228" s="20" t="str"/>
      <c r="G228" s="20" t="str"/>
      <c r="H228" s="20" t="str"/>
      <c r="I228" s="20" t="inlineStr">
        <is>
          <t>Lets you hit one target with two Disasters at once; both Disaster cards are played along with this card. Choose one as the main Disaster and resolve all its instructions, adding only the other Disaster's Power (ignore its other effects). Both Disasters must be eligible to strike the target Place (errata applied).</t>
        </is>
      </c>
      <c r="J228" s="20" t="inlineStr">
        <is>
          <t>Needs rules-engine encoding</t>
        </is>
      </c>
      <c r="K228" s="20" t="inlineStr">
        <is>
          <t>High</t>
        </is>
      </c>
      <c r="L228" s="20" t="inlineStr">
        <is>
          <t>Errata: both Disasters must be eligible to strike the target Place.</t>
        </is>
      </c>
      <c r="M228" s="20" t="inlineStr">
        <is>
          <t>https://github.com/Cha0smagick/Virtual-Illuminati-New-World-order-INWO-game</t>
        </is>
      </c>
      <c r="N228" t="inlineStr">
        <is>
          <t>When playing two Disasters against the same target</t>
        </is>
      </c>
      <c r="O228" t="inlineStr">
        <is>
          <t>One Place eligible for both Disasters</t>
        </is>
      </c>
      <c r="P228" t="inlineStr">
        <is>
          <t>Play 2 Disaster cards along with this card</t>
        </is>
      </c>
      <c r="Q228" t="inlineStr">
        <is>
          <t>Immediate</t>
        </is>
      </c>
      <c r="R228" t="inlineStr">
        <is>
          <t>Attack Power = main Disaster Power + secondary Disaster Power; only main Disaster's effects apply</t>
        </is>
      </c>
      <c r="S228" t="inlineStr">
        <is>
          <t>NO</t>
        </is>
      </c>
      <c r="T228" t="inlineStr">
        <is>
          <t>N/A</t>
        </is>
      </c>
      <c r="U228" t="inlineStr">
        <is>
          <t>N/A</t>
        </is>
      </c>
      <c r="V228" t="inlineStr">
        <is>
          <t>N/A — INWO uses Plots instead of group income/money</t>
        </is>
      </c>
      <c r="W228" t="inlineStr">
        <is>
          <t>N/A</t>
        </is>
      </c>
      <c r="X228" t="inlineStr">
        <is>
          <t>No card-specific limit (base duplicate rules apply)</t>
        </is>
      </c>
      <c r="Y228" t="inlineStr">
        <is>
          <t>You hold two Disasters, both able to target the chosen Place (errata)</t>
        </is>
      </c>
      <c r="Z228" t="inlineStr">
        <is>
          <t>Standard response window</t>
        </is>
      </c>
      <c r="AA228" t="inlineStr">
        <is>
          <t>Specific card overrides general rules</t>
        </is>
      </c>
      <c r="AB228" t="inlineStr">
        <is>
          <t>Full card scan read; behaviour paraphrased (no card text copied)</t>
        </is>
      </c>
      <c r="AC228" t="inlineStr">
        <is>
          <t>FUNCTIONALLY COMPLETE</t>
        </is>
      </c>
      <c r="AD228" t="inlineStr">
        <is>
          <t>None</t>
        </is>
      </c>
      <c r="AE228" t="inlineStr">
        <is>
          <t>Card scan (GitHub: Cha0smagick/Virtual-Illuminati-New-World-order-INWO-game), read Sep 2026</t>
        </is>
      </c>
      <c r="AF228" t="inlineStr">
        <is>
          <t>N/A</t>
        </is>
      </c>
      <c r="AG228" t="inlineStr">
        <is>
          <t>N/A</t>
        </is>
      </c>
      <c r="AH228" t="inlineStr">
        <is>
          <t>N/A</t>
        </is>
      </c>
      <c r="AI228" t="inlineStr">
        <is>
          <t>N/A</t>
        </is>
      </c>
      <c r="AJ228" t="inlineStr">
        <is>
          <t>N/A</t>
        </is>
      </c>
      <c r="AK228" t="inlineStr">
        <is>
          <t>Official rules: non-Group card types do not use normal Group control-arrow geometry.</t>
        </is>
      </c>
    </row>
    <row r="229" ht="34" customHeight="1" s="16">
      <c r="A229" s="20" t="inlineStr">
        <is>
          <t>Commitment</t>
        </is>
      </c>
      <c r="B229" s="20" t="inlineStr">
        <is>
          <t>Plot</t>
        </is>
      </c>
      <c r="C229" s="20" t="inlineStr">
        <is>
          <t>Plot</t>
        </is>
      </c>
      <c r="D229" s="20" t="inlineStr">
        <is>
          <t>Uncommon</t>
        </is>
      </c>
      <c r="E229" s="20" t="str"/>
      <c r="F229" s="20" t="str"/>
      <c r="G229" s="20" t="str"/>
      <c r="H229" s="20" t="str"/>
      <c r="I229" s="20" t="inlineStr">
        <is>
          <t>Raises one group's Resistance to 8 and links to it. It is a free move that can be played at any time, including while the target is under attack. The target may belong to any player, including a group a rival has just played from hand.</t>
        </is>
      </c>
      <c r="J229" s="20" t="inlineStr">
        <is>
          <t>Needs rules-engine encoding</t>
        </is>
      </c>
      <c r="K229" s="20" t="inlineStr">
        <is>
          <t>High</t>
        </is>
      </c>
      <c r="L229" s="20" t="str"/>
      <c r="M229" s="20" t="inlineStr">
        <is>
          <t>https://github.com/Cha0smagick/Virtual-Illuminati-New-World-order-INWO-game</t>
        </is>
      </c>
      <c r="N229" t="inlineStr">
        <is>
          <t>Play at any time (free move), including during an attack on the target</t>
        </is>
      </c>
      <c r="O229" t="inlineStr">
        <is>
          <t>One group belonging to anyone, including a group a rival has just played from his hand</t>
        </is>
      </c>
      <c r="P229" t="inlineStr">
        <is>
          <t>None (free move)</t>
        </is>
      </c>
      <c r="Q229" t="inlineStr">
        <is>
          <t>Permanent while linked</t>
        </is>
      </c>
      <c r="R229" t="inlineStr">
        <is>
          <t>Target Resistance = 8; link to target</t>
        </is>
      </c>
      <c r="S229" t="inlineStr">
        <is>
          <t>NO</t>
        </is>
      </c>
      <c r="T229" t="inlineStr">
        <is>
          <t>N/A</t>
        </is>
      </c>
      <c r="U229" t="inlineStr">
        <is>
          <t>N/A</t>
        </is>
      </c>
      <c r="V229" t="inlineStr">
        <is>
          <t>N/A — INWO uses Plots instead of group income/money</t>
        </is>
      </c>
      <c r="W229" t="inlineStr">
        <is>
          <t>N/A</t>
        </is>
      </c>
      <c r="X229" t="inlineStr">
        <is>
          <t>No card-specific limit (base duplicate rules apply)</t>
        </is>
      </c>
      <c r="Y229" t="inlineStr">
        <is>
          <t>None beyond base rules</t>
        </is>
      </c>
      <c r="Z229" t="inlineStr">
        <is>
          <t>Standard response window</t>
        </is>
      </c>
      <c r="AA229" t="inlineStr">
        <is>
          <t>Specific card overrides general rules</t>
        </is>
      </c>
      <c r="AB229" t="inlineStr">
        <is>
          <t>Full card scan read; behaviour paraphrased (no card text copied)</t>
        </is>
      </c>
      <c r="AC229" t="inlineStr">
        <is>
          <t>FUNCTIONALLY COMPLETE</t>
        </is>
      </c>
      <c r="AD229" t="inlineStr">
        <is>
          <t>None</t>
        </is>
      </c>
      <c r="AE229" t="inlineStr">
        <is>
          <t>Card scan (GitHub: Cha0smagick/Virtual-Illuminati-New-World-order-INWO-game), read Sep 2026</t>
        </is>
      </c>
      <c r="AF229" t="inlineStr">
        <is>
          <t>N/A</t>
        </is>
      </c>
      <c r="AG229" t="inlineStr">
        <is>
          <t>N/A</t>
        </is>
      </c>
      <c r="AH229" t="inlineStr">
        <is>
          <t>N/A</t>
        </is>
      </c>
      <c r="AI229" t="inlineStr">
        <is>
          <t>N/A</t>
        </is>
      </c>
      <c r="AJ229" t="inlineStr">
        <is>
          <t>N/A</t>
        </is>
      </c>
      <c r="AK229" t="inlineStr">
        <is>
          <t>Official rules: non-Group card types do not use normal Group control-arrow geometry.</t>
        </is>
      </c>
    </row>
    <row r="230" ht="34" customHeight="1" s="16">
      <c r="A230" s="20" t="inlineStr">
        <is>
          <t>Computer Security</t>
        </is>
      </c>
      <c r="B230" s="20" t="inlineStr">
        <is>
          <t>Plot</t>
        </is>
      </c>
      <c r="C230" s="20" t="inlineStr">
        <is>
          <t>Plot</t>
        </is>
      </c>
      <c r="D230" s="20" t="inlineStr">
        <is>
          <t>Rare</t>
        </is>
      </c>
      <c r="E230" s="20" t="str"/>
      <c r="F230" s="20" t="str"/>
      <c r="G230" s="20" t="str"/>
      <c r="H230" s="20" t="str"/>
      <c r="I230" s="20" t="inlineStr">
        <is>
          <t>Cancels completely a Plot card that deals with Computers or targets a Computer group. Playable at any moment, but only right after that Plot is played. Costs the action of the Network or of a Computer group.</t>
        </is>
      </c>
      <c r="J230" s="20" t="inlineStr">
        <is>
          <t>Needs rules-engine encoding</t>
        </is>
      </c>
      <c r="K230" s="20" t="inlineStr">
        <is>
          <t>High</t>
        </is>
      </c>
      <c r="L230" s="20" t="inlineStr">
        <is>
          <t>Which Plots 'concern Computers' needs a defined tag list in the engine.</t>
        </is>
      </c>
      <c r="M230" s="20" t="inlineStr">
        <is>
          <t>https://github.com/Cha0smagick/Virtual-Illuminati-New-World-order-INWO-game</t>
        </is>
      </c>
      <c r="N230" t="inlineStr">
        <is>
          <t>Immediately after a qualifying Plot card is played</t>
        </is>
      </c>
      <c r="O230" t="inlineStr">
        <is>
          <t>A Plot card dealing with Computers or aimed at a Computer group</t>
        </is>
      </c>
      <c r="P230" t="inlineStr">
        <is>
          <t>Spend the Network's action or a Computer group's action</t>
        </is>
      </c>
      <c r="Q230" t="inlineStr">
        <is>
          <t>Immediate</t>
        </is>
      </c>
      <c r="R230" t="inlineStr">
        <is>
          <t>Negate target Plot entirely</t>
        </is>
      </c>
      <c r="S230" t="inlineStr">
        <is>
          <t>NO</t>
        </is>
      </c>
      <c r="T230" t="inlineStr">
        <is>
          <t>N/A</t>
        </is>
      </c>
      <c r="U230" t="inlineStr">
        <is>
          <t>N/A</t>
        </is>
      </c>
      <c r="V230" t="inlineStr">
        <is>
          <t>N/A — INWO uses Plots instead of group income/money</t>
        </is>
      </c>
      <c r="W230" t="inlineStr">
        <is>
          <t>N/A</t>
        </is>
      </c>
      <c r="X230" t="inlineStr">
        <is>
          <t>No card-specific limit (base duplicate rules apply)</t>
        </is>
      </c>
      <c r="Y230" t="inlineStr">
        <is>
          <t>You control the Network or a Computer group with an available action</t>
        </is>
      </c>
      <c r="Z230" t="inlineStr">
        <is>
          <t>Must be used immediately after the target Plot is played</t>
        </is>
      </c>
      <c r="AA230" t="inlineStr">
        <is>
          <t>Specific card overrides general rules</t>
        </is>
      </c>
      <c r="AB230" t="inlineStr">
        <is>
          <t>Full card scan read; behaviour paraphrased (no card text copied)</t>
        </is>
      </c>
      <c r="AC230" t="inlineStr">
        <is>
          <t>FUNCTIONALLY COMPLETE</t>
        </is>
      </c>
      <c r="AD230" t="inlineStr">
        <is>
          <t>None</t>
        </is>
      </c>
      <c r="AE230" t="inlineStr">
        <is>
          <t>Card scan (GitHub: Cha0smagick/Virtual-Illuminati-New-World-order-INWO-game), read Sep 2026</t>
        </is>
      </c>
      <c r="AF230" t="inlineStr">
        <is>
          <t>N/A</t>
        </is>
      </c>
      <c r="AG230" t="inlineStr">
        <is>
          <t>N/A</t>
        </is>
      </c>
      <c r="AH230" t="inlineStr">
        <is>
          <t>N/A</t>
        </is>
      </c>
      <c r="AI230" t="inlineStr">
        <is>
          <t>N/A</t>
        </is>
      </c>
      <c r="AJ230" t="inlineStr">
        <is>
          <t>N/A</t>
        </is>
      </c>
      <c r="AK230" t="inlineStr">
        <is>
          <t>Official rules: non-Group card types do not use normal Group control-arrow geometry.</t>
        </is>
      </c>
    </row>
    <row r="231" ht="34" customHeight="1" s="16">
      <c r="A231" s="20" t="inlineStr">
        <is>
          <t>Computer Virus</t>
        </is>
      </c>
      <c r="B231" s="20" t="inlineStr">
        <is>
          <t>Plot</t>
        </is>
      </c>
      <c r="C231" s="20" t="inlineStr">
        <is>
          <t>Plot</t>
        </is>
      </c>
      <c r="D231" s="20" t="inlineStr">
        <is>
          <t>Uncommon</t>
        </is>
      </c>
      <c r="E231" s="20" t="str"/>
      <c r="F231" s="20" t="str"/>
      <c r="G231" s="20" t="str"/>
      <c r="H231" s="20" t="str"/>
      <c r="I231" s="20" t="inlineStr">
        <is>
          <t>Played right after any player's die roll; you may retroactively change that roll by 2, up or down. Requires an action from any Science, Space, or Computer group.</t>
        </is>
      </c>
      <c r="J231" s="20" t="inlineStr">
        <is>
          <t>Needs rules-engine encoding</t>
        </is>
      </c>
      <c r="K231" s="20" t="inlineStr">
        <is>
          <t>High</t>
        </is>
      </c>
      <c r="L231" s="20" t="str"/>
      <c r="M231" s="20" t="inlineStr">
        <is>
          <t>https://github.com/Cha0smagick/Virtual-Illuminati-New-World-order-INWO-game</t>
        </is>
      </c>
      <c r="N231" t="inlineStr">
        <is>
          <t>As soon as any player rolls the dice</t>
        </is>
      </c>
      <c r="O231" t="inlineStr">
        <is>
          <t>The die roll just made</t>
        </is>
      </c>
      <c r="P231" t="inlineStr">
        <is>
          <t>One Science, Space, or Computer group spends its action</t>
        </is>
      </c>
      <c r="Q231" t="inlineStr">
        <is>
          <t>Immediate</t>
        </is>
      </c>
      <c r="R231" t="inlineStr">
        <is>
          <t>Roll +2 or -2 (your choice)</t>
        </is>
      </c>
      <c r="S231" t="inlineStr">
        <is>
          <t>NO</t>
        </is>
      </c>
      <c r="T231" t="inlineStr">
        <is>
          <t>N/A</t>
        </is>
      </c>
      <c r="U231" t="inlineStr">
        <is>
          <t>N/A</t>
        </is>
      </c>
      <c r="V231" t="inlineStr">
        <is>
          <t>N/A — INWO uses Plots instead of group income/money</t>
        </is>
      </c>
      <c r="W231" t="inlineStr">
        <is>
          <t>N/A</t>
        </is>
      </c>
      <c r="X231" t="inlineStr">
        <is>
          <t>No card-specific limit (base duplicate rules apply)</t>
        </is>
      </c>
      <c r="Y231" t="inlineStr">
        <is>
          <t>You control a Science, Space, or Computer group with an available action</t>
        </is>
      </c>
      <c r="Z231" t="inlineStr">
        <is>
          <t>Standard response window</t>
        </is>
      </c>
      <c r="AA231" t="inlineStr">
        <is>
          <t>Specific card overrides general rules</t>
        </is>
      </c>
      <c r="AB231" t="inlineStr">
        <is>
          <t>Full card scan read; behaviour paraphrased (no card text copied)</t>
        </is>
      </c>
      <c r="AC231" t="inlineStr">
        <is>
          <t>FUNCTIONALLY COMPLETE</t>
        </is>
      </c>
      <c r="AD231" t="inlineStr">
        <is>
          <t>None</t>
        </is>
      </c>
      <c r="AE231" t="inlineStr">
        <is>
          <t>Card scan (GitHub: Cha0smagick/Virtual-Illuminati-New-World-order-INWO-game), read Sep 2026</t>
        </is>
      </c>
      <c r="AF231" t="inlineStr">
        <is>
          <t>N/A</t>
        </is>
      </c>
      <c r="AG231" t="inlineStr">
        <is>
          <t>N/A</t>
        </is>
      </c>
      <c r="AH231" t="inlineStr">
        <is>
          <t>N/A</t>
        </is>
      </c>
      <c r="AI231" t="inlineStr">
        <is>
          <t>N/A</t>
        </is>
      </c>
      <c r="AJ231" t="inlineStr">
        <is>
          <t>N/A</t>
        </is>
      </c>
      <c r="AK231" t="inlineStr">
        <is>
          <t>Official rules: non-Group card types do not use normal Group control-arrow geometry.</t>
        </is>
      </c>
    </row>
    <row r="232" ht="34" customHeight="1" s="16">
      <c r="A232" s="20" t="inlineStr">
        <is>
          <t>Corruption</t>
        </is>
      </c>
      <c r="B232" s="20" t="inlineStr">
        <is>
          <t>Plot</t>
        </is>
      </c>
      <c r="C232" s="20" t="inlineStr">
        <is>
          <t>Plot</t>
        </is>
      </c>
      <c r="D232" s="20" t="inlineStr">
        <is>
          <t>Rare</t>
        </is>
      </c>
      <c r="E232" s="20" t="str"/>
      <c r="F232" s="20" t="str"/>
      <c r="G232" s="20" t="str"/>
      <c r="H232" s="20" t="str"/>
      <c r="I232" s="20" t="inlineStr">
        <is>
          <t>Played right after Relief is sent to a Devastated area. That Relief is wasted: the area stays Devastated, the groups beneath it lose the Action tokens it gave them, and no further Relief may be tried there until after the playing player's next turn.</t>
        </is>
      </c>
      <c r="J232" s="20" t="inlineStr">
        <is>
          <t>Needs rules-engine encoding</t>
        </is>
      </c>
      <c r="K232" s="20" t="inlineStr">
        <is>
          <t>Medium</t>
        </is>
      </c>
      <c r="L232" s="20" t="inlineStr">
        <is>
          <t>Card says supplies are stolen, implying the Relief just played is nullified (Place stays Devastated), but this is flavored rather than stated as a rule.</t>
        </is>
      </c>
      <c r="M232" s="20" t="inlineStr">
        <is>
          <t>https://github.com/Cha0smagick/Virtual-Illuminati-New-World-order-INWO-game</t>
        </is>
      </c>
      <c r="N232" t="inlineStr">
        <is>
          <t>After Relief is played on a Devastated area</t>
        </is>
      </c>
      <c r="O232" t="inlineStr">
        <is>
          <t>The Devastated Place that received Relief</t>
        </is>
      </c>
      <c r="P232" t="inlineStr">
        <is>
          <t>None</t>
        </is>
      </c>
      <c r="Q232" t="inlineStr">
        <is>
          <t>Until after your next turn</t>
        </is>
      </c>
      <c r="R232" t="inlineStr">
        <is>
          <t>Cancel the Relief just given (target stays Devastated; groups below it lose their tokens); block new Relief attempts on target until after your next turn</t>
        </is>
      </c>
      <c r="S232" t="inlineStr">
        <is>
          <t>REVIEW</t>
        </is>
      </c>
      <c r="T232" t="inlineStr">
        <is>
          <t>N/A</t>
        </is>
      </c>
      <c r="U232" t="inlineStr">
        <is>
          <t>N/A</t>
        </is>
      </c>
      <c r="V232" t="inlineStr">
        <is>
          <t>N/A — INWO uses Plots instead of group income/money</t>
        </is>
      </c>
      <c r="W232" t="inlineStr">
        <is>
          <t>N/A</t>
        </is>
      </c>
      <c r="X232" t="inlineStr">
        <is>
          <t>No card-specific limit (base duplicate rules apply)</t>
        </is>
      </c>
      <c r="Y232" t="inlineStr">
        <is>
          <t>A Devastated area has just been given Relief</t>
        </is>
      </c>
      <c r="Z232" t="inlineStr">
        <is>
          <t>Standard response window</t>
        </is>
      </c>
      <c r="AA232" t="inlineStr">
        <is>
          <t>Specific card overrides general rules</t>
        </is>
      </c>
      <c r="AB232" t="inlineStr">
        <is>
          <t>Full card scan read; behaviour paraphrased (no card text copied)</t>
        </is>
      </c>
      <c r="AC232" t="inlineStr">
        <is>
          <t>COMPLETE — RULING NEEDED</t>
        </is>
      </c>
      <c r="AD232" t="inlineStr">
        <is>
          <t>Card wording is ambiguous; interpretation used is in Research Notes. Confirm or choose your own house ruling.</t>
        </is>
      </c>
      <c r="AE232" t="inlineStr">
        <is>
          <t>Card scan (GitHub: Cha0smagick/Virtual-Illuminati-New-World-order-INWO-game), read Sep 2026</t>
        </is>
      </c>
      <c r="AF232" t="inlineStr">
        <is>
          <t>N/A</t>
        </is>
      </c>
      <c r="AG232" t="inlineStr">
        <is>
          <t>N/A</t>
        </is>
      </c>
      <c r="AH232" t="inlineStr">
        <is>
          <t>N/A</t>
        </is>
      </c>
      <c r="AI232" t="inlineStr">
        <is>
          <t>N/A</t>
        </is>
      </c>
      <c r="AJ232" t="inlineStr">
        <is>
          <t>N/A</t>
        </is>
      </c>
      <c r="AK232" t="inlineStr">
        <is>
          <t>Official rules: non-Group card types do not use normal Group control-arrow geometry.</t>
        </is>
      </c>
    </row>
    <row r="233" ht="34" customHeight="1" s="16">
      <c r="A233" s="20" t="inlineStr">
        <is>
          <t>Counter-Revolution</t>
        </is>
      </c>
      <c r="B233" s="20" t="inlineStr">
        <is>
          <t>Plot</t>
        </is>
      </c>
      <c r="C233" s="20" t="inlineStr">
        <is>
          <t>Plot</t>
        </is>
      </c>
      <c r="D233" s="20" t="inlineStr">
        <is>
          <t>Rare</t>
        </is>
      </c>
      <c r="E233" s="20" t="str"/>
      <c r="F233" s="20" t="str"/>
      <c r="G233" s="20" t="str"/>
      <c r="H233" s="20" t="str"/>
      <c r="I233" s="20" t="inlineStr">
        <is>
          <t>Use as you play a Nation from your hand that duplicates a destroyed group: the Nation may enter play as if it had never been destroyed. Costs your Illuminati's action, or the actions of Government groups totalling Power 10 or more. The first copy no longer counts as destroyed toward its destroyer's Goals.</t>
        </is>
      </c>
      <c r="J233" s="20" t="inlineStr">
        <is>
          <t>Needs rules-engine encoding</t>
        </is>
      </c>
      <c r="K233" s="20" t="inlineStr">
        <is>
          <t>High</t>
        </is>
      </c>
      <c r="L233" s="20" t="str"/>
      <c r="M233" s="20" t="inlineStr">
        <is>
          <t>https://github.com/Cha0smagick/Virtual-Illuminati-New-World-order-INWO-game</t>
        </is>
      </c>
      <c r="N233" t="inlineStr">
        <is>
          <t>When playing a duplicate Nation from hand</t>
        </is>
      </c>
      <c r="O233" t="inlineStr">
        <is>
          <t>A duplicate of a destroyed Nation</t>
        </is>
      </c>
      <c r="P233" t="inlineStr">
        <is>
          <t>Illuminati action, or action(s) of Government groups with total Power &gt;= 10</t>
        </is>
      </c>
      <c r="Q233" t="inlineStr">
        <is>
          <t>Immediate (Goal credit removal is permanent)</t>
        </is>
      </c>
      <c r="R233" t="inlineStr">
        <is>
          <t>Allow duplicate of destroyed Nation into play; revoke 'destroyed' Goal credit</t>
        </is>
      </c>
      <c r="S233" t="inlineStr">
        <is>
          <t>NO</t>
        </is>
      </c>
      <c r="T233" t="inlineStr">
        <is>
          <t>N/A</t>
        </is>
      </c>
      <c r="U233" t="inlineStr">
        <is>
          <t>N/A</t>
        </is>
      </c>
      <c r="V233" t="inlineStr">
        <is>
          <t>N/A — INWO uses Plots instead of group income/money</t>
        </is>
      </c>
      <c r="W233" t="inlineStr">
        <is>
          <t>N/A</t>
        </is>
      </c>
      <c r="X233" t="inlineStr">
        <is>
          <t>No card-specific limit (base duplicate rules apply)</t>
        </is>
      </c>
      <c r="Y233" t="inlineStr">
        <is>
          <t>You hold a duplicate of a destroyed Nation in hand</t>
        </is>
      </c>
      <c r="Z233" t="inlineStr">
        <is>
          <t>Standard response window</t>
        </is>
      </c>
      <c r="AA233" t="inlineStr">
        <is>
          <t>Specific card overrides general rules</t>
        </is>
      </c>
      <c r="AB233" t="inlineStr">
        <is>
          <t>Full card scan read; behaviour paraphrased (no card text copied)</t>
        </is>
      </c>
      <c r="AC233" t="inlineStr">
        <is>
          <t>FUNCTIONALLY COMPLETE</t>
        </is>
      </c>
      <c r="AD233" t="inlineStr">
        <is>
          <t>None</t>
        </is>
      </c>
      <c r="AE233" t="inlineStr">
        <is>
          <t>Card scan (GitHub: Cha0smagick/Virtual-Illuminati-New-World-order-INWO-game), read Sep 2026</t>
        </is>
      </c>
      <c r="AF233" t="inlineStr">
        <is>
          <t>N/A</t>
        </is>
      </c>
      <c r="AG233" t="inlineStr">
        <is>
          <t>N/A</t>
        </is>
      </c>
      <c r="AH233" t="inlineStr">
        <is>
          <t>N/A</t>
        </is>
      </c>
      <c r="AI233" t="inlineStr">
        <is>
          <t>N/A</t>
        </is>
      </c>
      <c r="AJ233" t="inlineStr">
        <is>
          <t>N/A</t>
        </is>
      </c>
      <c r="AK233" t="inlineStr">
        <is>
          <t>Official rules: non-Group card types do not use normal Group control-arrow geometry.</t>
        </is>
      </c>
    </row>
    <row r="234" ht="34" customHeight="1" s="16">
      <c r="A234" s="20" t="inlineStr">
        <is>
          <t>Counterspell</t>
        </is>
      </c>
      <c r="B234" s="20" t="inlineStr">
        <is>
          <t>Plot</t>
        </is>
      </c>
      <c r="C234" s="20" t="inlineStr">
        <is>
          <t>Plot</t>
        </is>
      </c>
      <c r="D234" s="20" t="inlineStr">
        <is>
          <t>Uncommon</t>
        </is>
      </c>
      <c r="E234" s="20" t="str"/>
      <c r="F234" s="20" t="str"/>
      <c r="G234" s="20" t="str"/>
      <c r="H234" s="20" t="str"/>
      <c r="I234" s="20" t="inlineStr">
        <is>
          <t>Play when any Magic Resource is used, in any way, to attack you or to help an attack against you. Paying for it takes the action of one of your Magic groups or of your Illuminati. The Magic Resource is destroyed and its owner discards it.</t>
        </is>
      </c>
      <c r="J234" s="20" t="inlineStr">
        <is>
          <t>Needs rules-engine encoding</t>
        </is>
      </c>
      <c r="K234" s="20" t="inlineStr">
        <is>
          <t>High</t>
        </is>
      </c>
      <c r="L234" s="20" t="inlineStr">
        <is>
          <t>Bottom banner: requires Magic or Illuminati action.</t>
        </is>
      </c>
      <c r="M234" s="20" t="inlineStr">
        <is>
          <t>https://github.com/Cha0smagick/Virtual-Illuminati-New-World-order-INWO-game</t>
        </is>
      </c>
      <c r="N234" t="inlineStr">
        <is>
          <t>When a Magic Resource attacks you or helps an attack against you</t>
        </is>
      </c>
      <c r="O234" t="inlineStr">
        <is>
          <t>The Magic Resource being used against you</t>
        </is>
      </c>
      <c r="P234" t="inlineStr">
        <is>
          <t>Spend the action of your Illuminati or of a Magic group</t>
        </is>
      </c>
      <c r="Q234" t="inlineStr">
        <is>
          <t>Immediate</t>
        </is>
      </c>
      <c r="R234" t="inlineStr">
        <is>
          <t>Target Magic Resource destroyed (discarded)</t>
        </is>
      </c>
      <c r="S234" t="inlineStr">
        <is>
          <t>NO</t>
        </is>
      </c>
      <c r="T234" t="inlineStr">
        <is>
          <t>N/A</t>
        </is>
      </c>
      <c r="U234" t="inlineStr">
        <is>
          <t>N/A</t>
        </is>
      </c>
      <c r="V234" t="inlineStr">
        <is>
          <t>N/A — INWO uses Plots instead of group income/money</t>
        </is>
      </c>
      <c r="W234" t="inlineStr">
        <is>
          <t>N/A</t>
        </is>
      </c>
      <c r="X234" t="inlineStr">
        <is>
          <t>No card-specific limit (base duplicate rules apply)</t>
        </is>
      </c>
      <c r="Y234" t="inlineStr">
        <is>
          <t>A Magic Resource must be in use against you (attacking you or aiding an attack on you); you must have a Magic group or Illuminati action available</t>
        </is>
      </c>
      <c r="Z234" t="inlineStr">
        <is>
          <t>Standard response window</t>
        </is>
      </c>
      <c r="AA234" t="inlineStr">
        <is>
          <t>Specific card overrides general rules</t>
        </is>
      </c>
      <c r="AB234" t="inlineStr">
        <is>
          <t>Full card scan read; behaviour paraphrased (no card text copied)</t>
        </is>
      </c>
      <c r="AC234" t="inlineStr">
        <is>
          <t>FUNCTIONALLY COMPLETE</t>
        </is>
      </c>
      <c r="AD234" t="inlineStr">
        <is>
          <t>None</t>
        </is>
      </c>
      <c r="AE234" t="inlineStr">
        <is>
          <t>Card scan (GitHub: Cha0smagick/Virtual-Illuminati-New-World-order-INWO-game), read Sep 2026</t>
        </is>
      </c>
      <c r="AF234" t="inlineStr">
        <is>
          <t>N/A</t>
        </is>
      </c>
      <c r="AG234" t="inlineStr">
        <is>
          <t>N/A</t>
        </is>
      </c>
      <c r="AH234" t="inlineStr">
        <is>
          <t>N/A</t>
        </is>
      </c>
      <c r="AI234" t="inlineStr">
        <is>
          <t>N/A</t>
        </is>
      </c>
      <c r="AJ234" t="inlineStr">
        <is>
          <t>N/A</t>
        </is>
      </c>
      <c r="AK234" t="inlineStr">
        <is>
          <t>Official rules: non-Group card types do not use normal Group control-arrow geometry.</t>
        </is>
      </c>
    </row>
    <row r="235" ht="34" customHeight="1" s="16">
      <c r="A235" s="20" t="inlineStr">
        <is>
          <t>Cover of Darkness</t>
        </is>
      </c>
      <c r="B235" s="20" t="inlineStr">
        <is>
          <t>Plot</t>
        </is>
      </c>
      <c r="C235" s="20" t="inlineStr">
        <is>
          <t>Plot</t>
        </is>
      </c>
      <c r="D235" s="20" t="inlineStr">
        <is>
          <t>Rare</t>
        </is>
      </c>
      <c r="E235" s="20" t="str"/>
      <c r="F235" s="20" t="str"/>
      <c r="G235" s="20" t="str"/>
      <c r="H235" s="20" t="str"/>
      <c r="I235" s="20" t="inlineStr">
        <is>
          <t>Play right after any Gadget or Artifact Resource is destroyed or discarded. The destruction is undone and you take control of that Resource.</t>
        </is>
      </c>
      <c r="J235" s="20" t="inlineStr">
        <is>
          <t>Needs rules-engine encoding</t>
        </is>
      </c>
      <c r="K235" s="20" t="inlineStr">
        <is>
          <t>High</t>
        </is>
      </c>
      <c r="L235" s="20" t="inlineStr">
        <is>
          <t>Card does not state an action cost; treated as free.</t>
        </is>
      </c>
      <c r="M235" s="20" t="inlineStr">
        <is>
          <t>https://github.com/Cha0smagick/Virtual-Illuminati-New-World-order-INWO-game</t>
        </is>
      </c>
      <c r="N235" t="inlineStr">
        <is>
          <t>Right when an Artifact or Gadget Resource gets destroyed or discarded</t>
        </is>
      </c>
      <c r="O235" t="inlineStr">
        <is>
          <t>The Gadget or Artifact Resource just destroyed/discarded (anyone's)</t>
        </is>
      </c>
      <c r="P235" t="inlineStr">
        <is>
          <t>None</t>
        </is>
      </c>
      <c r="Q235" t="inlineStr">
        <is>
          <t>Immediate (you keep the Resource permanently)</t>
        </is>
      </c>
      <c r="R235" t="inlineStr">
        <is>
          <t>Cancel destruction/discard of target Gadget/Artifact; control of it passes to you</t>
        </is>
      </c>
      <c r="S235" t="inlineStr">
        <is>
          <t>NO</t>
        </is>
      </c>
      <c r="T235" t="inlineStr">
        <is>
          <t>N/A</t>
        </is>
      </c>
      <c r="U235" t="inlineStr">
        <is>
          <t>N/A</t>
        </is>
      </c>
      <c r="V235" t="inlineStr">
        <is>
          <t>N/A — INWO uses Plots instead of group income/money</t>
        </is>
      </c>
      <c r="W235" t="inlineStr">
        <is>
          <t>N/A</t>
        </is>
      </c>
      <c r="X235" t="inlineStr">
        <is>
          <t>No card-specific limit (base duplicate rules apply)</t>
        </is>
      </c>
      <c r="Y235" t="inlineStr">
        <is>
          <t>An Artifact or Gadget Resource was just destroyed or discarded</t>
        </is>
      </c>
      <c r="Z235" t="inlineStr">
        <is>
          <t>Must be played immediately after the destruction/discard</t>
        </is>
      </c>
      <c r="AA235" t="inlineStr">
        <is>
          <t>Specific card overrides general rules</t>
        </is>
      </c>
      <c r="AB235" t="inlineStr">
        <is>
          <t>Full card scan read; behaviour paraphrased (no card text copied)</t>
        </is>
      </c>
      <c r="AC235" t="inlineStr">
        <is>
          <t>FUNCTIONALLY COMPLETE</t>
        </is>
      </c>
      <c r="AD235" t="inlineStr">
        <is>
          <t>None</t>
        </is>
      </c>
      <c r="AE235" t="inlineStr">
        <is>
          <t>Card scan (GitHub: Cha0smagick/Virtual-Illuminati-New-World-order-INWO-game), read Sep 2026</t>
        </is>
      </c>
      <c r="AF235" t="inlineStr">
        <is>
          <t>N/A</t>
        </is>
      </c>
      <c r="AG235" t="inlineStr">
        <is>
          <t>N/A</t>
        </is>
      </c>
      <c r="AH235" t="inlineStr">
        <is>
          <t>N/A</t>
        </is>
      </c>
      <c r="AI235" t="inlineStr">
        <is>
          <t>N/A</t>
        </is>
      </c>
      <c r="AJ235" t="inlineStr">
        <is>
          <t>N/A</t>
        </is>
      </c>
      <c r="AK235" t="inlineStr">
        <is>
          <t>Official rules: non-Group card types do not use normal Group control-arrow geometry.</t>
        </is>
      </c>
    </row>
    <row r="236" ht="34" customHeight="1" s="16">
      <c r="A236" s="20" t="inlineStr">
        <is>
          <t>Cover-Up</t>
        </is>
      </c>
      <c r="B236" s="20" t="inlineStr">
        <is>
          <t>Plot</t>
        </is>
      </c>
      <c r="C236" s="20" t="inlineStr">
        <is>
          <t>Plot</t>
        </is>
      </c>
      <c r="D236" s="20" t="inlineStr">
        <is>
          <t>Rare</t>
        </is>
      </c>
      <c r="E236" s="20" t="str"/>
      <c r="F236" s="20" t="str"/>
      <c r="G236" s="20" t="str"/>
      <c r="H236" s="20" t="str"/>
      <c r="I236" s="20" t="inlineStr">
        <is>
          <t>Mode 1: play at any time after a Secret group has been successfully attacked; the attack is turned into a failure. This costs the action of a different Secret group or of your Illuminati. Mode 2: play immediately after an Exposed! card is played to cancel it, so the group keeps its Secret status; this mode is a free action.</t>
        </is>
      </c>
      <c r="J236" s="20" t="inlineStr">
        <is>
          <t>Needs rules-engine encoding</t>
        </is>
      </c>
      <c r="K236" s="20" t="inlineStr">
        <is>
          <t>High</t>
        </is>
      </c>
      <c r="L236" s="20" t="inlineStr">
        <is>
          <t>Footer note: an action from a Secret group or the Illuminati may be needed.</t>
        </is>
      </c>
      <c r="M236" s="20" t="inlineStr">
        <is>
          <t>https://github.com/Cha0smagick/Virtual-Illuminati-New-World-order-INWO-game</t>
        </is>
      </c>
      <c r="N236" t="inlineStr">
        <is>
          <t>After a successful attack on a Secret group, or immediately in response to an Exposed! card</t>
        </is>
      </c>
      <c r="O236" t="inlineStr">
        <is>
          <t>A successful attack against a Secret group, or an Exposed! card just played</t>
        </is>
      </c>
      <c r="P236" t="inlineStr">
        <is>
          <t>Mode 1: action of another Secret group or your Illuminati; Mode 2: None (free action)</t>
        </is>
      </c>
      <c r="Q236" t="inlineStr">
        <is>
          <t>Immediate</t>
        </is>
      </c>
      <c r="R236" t="inlineStr">
        <is>
          <t>Mode 1: successful attack on Secret group becomes a failure. Mode 2: nullify Exposed!; target keeps Secret</t>
        </is>
      </c>
      <c r="S236" t="inlineStr">
        <is>
          <t>NO</t>
        </is>
      </c>
      <c r="T236" t="inlineStr">
        <is>
          <t>N/A</t>
        </is>
      </c>
      <c r="U236" t="inlineStr">
        <is>
          <t>N/A</t>
        </is>
      </c>
      <c r="V236" t="inlineStr">
        <is>
          <t>N/A — INWO uses Plots instead of group income/money</t>
        </is>
      </c>
      <c r="W236" t="inlineStr">
        <is>
          <t>N/A</t>
        </is>
      </c>
      <c r="X236" t="inlineStr">
        <is>
          <t>No card-specific limit (base duplicate rules apply)</t>
        </is>
      </c>
      <c r="Y236" t="inlineStr">
        <is>
          <t>Mode 1: a Secret group has been successfully attacked and you have another Secret group (not the target) or Illuminati action available. Mode 2: Exposed! was just played</t>
        </is>
      </c>
      <c r="Z236" t="inlineStr">
        <is>
          <t>Mode 2 must be played immediately after Exposed!</t>
        </is>
      </c>
      <c r="AA236" t="inlineStr">
        <is>
          <t>Specific card overrides general rules</t>
        </is>
      </c>
      <c r="AB236" t="inlineStr">
        <is>
          <t>Full card scan read; behaviour paraphrased (no card text copied)</t>
        </is>
      </c>
      <c r="AC236" t="inlineStr">
        <is>
          <t>FUNCTIONALLY COMPLETE</t>
        </is>
      </c>
      <c r="AD236" t="inlineStr">
        <is>
          <t>None</t>
        </is>
      </c>
      <c r="AE236" t="inlineStr">
        <is>
          <t>Card scan (GitHub: Cha0smagick/Virtual-Illuminati-New-World-order-INWO-game), read Sep 2026</t>
        </is>
      </c>
      <c r="AF236" t="inlineStr">
        <is>
          <t>N/A</t>
        </is>
      </c>
      <c r="AG236" t="inlineStr">
        <is>
          <t>N/A</t>
        </is>
      </c>
      <c r="AH236" t="inlineStr">
        <is>
          <t>N/A</t>
        </is>
      </c>
      <c r="AI236" t="inlineStr">
        <is>
          <t>N/A</t>
        </is>
      </c>
      <c r="AJ236" t="inlineStr">
        <is>
          <t>N/A</t>
        </is>
      </c>
      <c r="AK236" t="inlineStr">
        <is>
          <t>Official rules: non-Group card types do not use normal Group control-arrow geometry.</t>
        </is>
      </c>
    </row>
    <row r="237" ht="34" customHeight="1" s="16">
      <c r="A237" s="20" t="inlineStr">
        <is>
          <t>Crop Circles</t>
        </is>
      </c>
      <c r="B237" s="20" t="inlineStr">
        <is>
          <t>Plot</t>
        </is>
      </c>
      <c r="C237" s="20" t="inlineStr">
        <is>
          <t>Plot</t>
        </is>
      </c>
      <c r="D237" s="20" t="inlineStr">
        <is>
          <t>Common</t>
        </is>
      </c>
      <c r="E237" s="20" t="str"/>
      <c r="F237" s="20" t="str"/>
      <c r="G237" s="20" t="str"/>
      <c r="H237" s="20" t="str"/>
      <c r="I237" s="20" t="inlineStr">
        <is>
          <t>Play when you are about to draw Plot or Group cards. Rather than drawing at random, take 30 seconds to go through one deck and pick the number of cards you would have drawn; shuffle that deck afterwards. Costs a Magic group's action.</t>
        </is>
      </c>
      <c r="J237" s="20" t="inlineStr">
        <is>
          <t>Needs rules-engine encoding</t>
        </is>
      </c>
      <c r="K237" s="20" t="inlineStr">
        <is>
          <t>High</t>
        </is>
      </c>
      <c r="L237" s="20" t="inlineStr">
        <is>
          <t>Digital engine should implement the 30-second limit as a timed selection.</t>
        </is>
      </c>
      <c r="M237" s="20" t="inlineStr">
        <is>
          <t>https://github.com/Cha0smagick/Virtual-Illuminati-New-World-order-INWO-game</t>
        </is>
      </c>
      <c r="N237" t="inlineStr">
        <is>
          <t>When you would draw Group or Plot cards</t>
        </is>
      </c>
      <c r="O237" t="inlineStr">
        <is>
          <t>Your own Plot or Group deck (one deck)</t>
        </is>
      </c>
      <c r="P237" t="inlineStr">
        <is>
          <t>Action of a Magic group</t>
        </is>
      </c>
      <c r="Q237" t="inlineStr">
        <is>
          <t>Immediate</t>
        </is>
      </c>
      <c r="R237" t="inlineStr">
        <is>
          <t>Replace random draw with chosen cards (count = current draw entitlement); 30-second search limit; reshuffle deck afterward</t>
        </is>
      </c>
      <c r="S237" t="inlineStr">
        <is>
          <t>NO</t>
        </is>
      </c>
      <c r="T237" t="inlineStr">
        <is>
          <t>N/A</t>
        </is>
      </c>
      <c r="U237" t="inlineStr">
        <is>
          <t>N/A</t>
        </is>
      </c>
      <c r="V237" t="inlineStr">
        <is>
          <t>N/A — INWO uses Plots instead of group income/money</t>
        </is>
      </c>
      <c r="W237" t="inlineStr">
        <is>
          <t>N/A</t>
        </is>
      </c>
      <c r="X237" t="inlineStr">
        <is>
          <t>No card-specific limit (base duplicate rules apply)</t>
        </is>
      </c>
      <c r="Y237" t="inlineStr">
        <is>
          <t>You must currently be entitled to draw Plot or Group cards; a Magic group with an action available</t>
        </is>
      </c>
      <c r="Z237" t="inlineStr">
        <is>
          <t>Standard response window</t>
        </is>
      </c>
      <c r="AA237" t="inlineStr">
        <is>
          <t>Specific card overrides general rules</t>
        </is>
      </c>
      <c r="AB237" t="inlineStr">
        <is>
          <t>Full card scan read; behaviour paraphrased (no card text copied)</t>
        </is>
      </c>
      <c r="AC237" t="inlineStr">
        <is>
          <t>FUNCTIONALLY COMPLETE</t>
        </is>
      </c>
      <c r="AD237" t="inlineStr">
        <is>
          <t>None</t>
        </is>
      </c>
      <c r="AE237" t="inlineStr">
        <is>
          <t>Card scan (GitHub: Cha0smagick/Virtual-Illuminati-New-World-order-INWO-game), read Sep 2026</t>
        </is>
      </c>
      <c r="AF237" t="inlineStr">
        <is>
          <t>N/A</t>
        </is>
      </c>
      <c r="AG237" t="inlineStr">
        <is>
          <t>N/A</t>
        </is>
      </c>
      <c r="AH237" t="inlineStr">
        <is>
          <t>N/A</t>
        </is>
      </c>
      <c r="AI237" t="inlineStr">
        <is>
          <t>N/A</t>
        </is>
      </c>
      <c r="AJ237" t="inlineStr">
        <is>
          <t>N/A</t>
        </is>
      </c>
      <c r="AK237" t="inlineStr">
        <is>
          <t>Official rules: non-Group card types do not use normal Group control-arrow geometry.</t>
        </is>
      </c>
    </row>
    <row r="238" ht="34" customHeight="1" s="16">
      <c r="A238" s="20" t="inlineStr">
        <is>
          <t>Currency Speculation</t>
        </is>
      </c>
      <c r="B238" s="20" t="inlineStr">
        <is>
          <t>Plot</t>
        </is>
      </c>
      <c r="C238" s="20" t="inlineStr">
        <is>
          <t>Plot</t>
        </is>
      </c>
      <c r="D238" s="20" t="inlineStr">
        <is>
          <t>Common</t>
        </is>
      </c>
      <c r="E238" s="20" t="str"/>
      <c r="F238" s="20" t="str"/>
      <c r="G238" s="20" t="str"/>
      <c r="H238" s="20" t="str"/>
      <c r="I238" s="20" t="inlineStr">
        <is>
          <t>Play at any time. Choose one of your Bank groups; either its Power or its Resistance is tripled for its next action or its next defense.</t>
        </is>
      </c>
      <c r="J238" s="20" t="inlineStr">
        <is>
          <t>Needs rules-engine encoding</t>
        </is>
      </c>
      <c r="K238" s="20" t="inlineStr">
        <is>
          <t>High</t>
        </is>
      </c>
      <c r="L238" s="20" t="inlineStr">
        <is>
          <t>Card says Power or Resistance, not both.</t>
        </is>
      </c>
      <c r="M238" s="20" t="inlineStr">
        <is>
          <t>https://github.com/Cha0smagick/Virtual-Illuminati-New-World-order-INWO-game</t>
        </is>
      </c>
      <c r="N238" t="inlineStr">
        <is>
          <t>Play at any time</t>
        </is>
      </c>
      <c r="O238" t="inlineStr">
        <is>
          <t>One Bank group you control</t>
        </is>
      </c>
      <c r="P238" t="inlineStr">
        <is>
          <t>None</t>
        </is>
      </c>
      <c r="Q238" t="inlineStr">
        <is>
          <t>Until that group's next action or defense</t>
        </is>
      </c>
      <c r="R238" t="inlineStr">
        <is>
          <t>Power x3 (next action) OR Resistance x3 (next defense)</t>
        </is>
      </c>
      <c r="S238" t="inlineStr">
        <is>
          <t>NO</t>
        </is>
      </c>
      <c r="T238" t="inlineStr">
        <is>
          <t>N/A</t>
        </is>
      </c>
      <c r="U238" t="inlineStr">
        <is>
          <t>N/A</t>
        </is>
      </c>
      <c r="V238" t="inlineStr">
        <is>
          <t>N/A — INWO uses Plots instead of group income/money</t>
        </is>
      </c>
      <c r="W238" t="inlineStr">
        <is>
          <t>N/A</t>
        </is>
      </c>
      <c r="X238" t="inlineStr">
        <is>
          <t>No card-specific limit (base duplicate rules apply)</t>
        </is>
      </c>
      <c r="Y238" t="inlineStr">
        <is>
          <t>You control a Bank group</t>
        </is>
      </c>
      <c r="Z238" t="inlineStr">
        <is>
          <t>Standard response window</t>
        </is>
      </c>
      <c r="AA238" t="inlineStr">
        <is>
          <t>Specific card overrides general rules</t>
        </is>
      </c>
      <c r="AB238" t="inlineStr">
        <is>
          <t>Full card scan read; behaviour paraphrased (no card text copied)</t>
        </is>
      </c>
      <c r="AC238" t="inlineStr">
        <is>
          <t>FUNCTIONALLY COMPLETE</t>
        </is>
      </c>
      <c r="AD238" t="inlineStr">
        <is>
          <t>None</t>
        </is>
      </c>
      <c r="AE238" t="inlineStr">
        <is>
          <t>Card scan (GitHub: Cha0smagick/Virtual-Illuminati-New-World-order-INWO-game), read Sep 2026</t>
        </is>
      </c>
      <c r="AF238" t="inlineStr">
        <is>
          <t>N/A</t>
        </is>
      </c>
      <c r="AG238" t="inlineStr">
        <is>
          <t>N/A</t>
        </is>
      </c>
      <c r="AH238" t="inlineStr">
        <is>
          <t>N/A</t>
        </is>
      </c>
      <c r="AI238" t="inlineStr">
        <is>
          <t>N/A</t>
        </is>
      </c>
      <c r="AJ238" t="inlineStr">
        <is>
          <t>N/A</t>
        </is>
      </c>
      <c r="AK238" t="inlineStr">
        <is>
          <t>Official rules: non-Group card types do not use normal Group control-arrow geometry.</t>
        </is>
      </c>
    </row>
    <row r="239" ht="34" customHeight="1" s="16">
      <c r="A239" s="20" t="inlineStr">
        <is>
          <t>Deasil Engine</t>
        </is>
      </c>
      <c r="B239" s="20" t="inlineStr">
        <is>
          <t>Plot</t>
        </is>
      </c>
      <c r="C239" s="20" t="inlineStr">
        <is>
          <t>Plot</t>
        </is>
      </c>
      <c r="D239" s="20" t="inlineStr">
        <is>
          <t>Rare</t>
        </is>
      </c>
      <c r="E239" s="20" t="str"/>
      <c r="F239" s="20" t="str"/>
      <c r="G239" s="20" t="str"/>
      <c r="H239" s="20" t="str"/>
      <c r="I239" s="20" t="inlineStr">
        <is>
          <t>Play at any time on any Gadget Resource; it destroys itself and its owner discards it. If anyone immediately plays another Deasil Engine in response, the two cancel each other out. Neither play counts as an action.</t>
        </is>
      </c>
      <c r="J239" s="20" t="inlineStr">
        <is>
          <t>Needs rules-engine encoding</t>
        </is>
      </c>
      <c r="K239" s="20" t="inlineStr">
        <is>
          <t>High</t>
        </is>
      </c>
      <c r="L239" s="20" t="str"/>
      <c r="M239" s="20" t="inlineStr">
        <is>
          <t>https://github.com/Cha0smagick/Virtual-Illuminati-New-World-order-INWO-game</t>
        </is>
      </c>
      <c r="N239" t="inlineStr">
        <is>
          <t>Play at any time</t>
        </is>
      </c>
      <c r="O239" t="inlineStr">
        <is>
          <t>Any Gadget Resource in play</t>
        </is>
      </c>
      <c r="P239" t="inlineStr">
        <is>
          <t>None (not an action)</t>
        </is>
      </c>
      <c r="Q239" t="inlineStr">
        <is>
          <t>Immediate</t>
        </is>
      </c>
      <c r="R239" t="inlineStr">
        <is>
          <t>Target Gadget destroyed/discarded; a second Deasil Engine played immediately cancels the first</t>
        </is>
      </c>
      <c r="S239" t="inlineStr">
        <is>
          <t>NO</t>
        </is>
      </c>
      <c r="T239" t="inlineStr">
        <is>
          <t>N/A</t>
        </is>
      </c>
      <c r="U239" t="inlineStr">
        <is>
          <t>N/A</t>
        </is>
      </c>
      <c r="V239" t="inlineStr">
        <is>
          <t>N/A — INWO uses Plots instead of group income/money</t>
        </is>
      </c>
      <c r="W239" t="inlineStr">
        <is>
          <t>N/A</t>
        </is>
      </c>
      <c r="X239" t="inlineStr">
        <is>
          <t>No card-specific limit (base duplicate rules apply)</t>
        </is>
      </c>
      <c r="Y239" t="inlineStr">
        <is>
          <t>A Gadget Resource is in play</t>
        </is>
      </c>
      <c r="Z239" t="inlineStr">
        <is>
          <t>Can be cancelled by another Deasil Engine played immediately</t>
        </is>
      </c>
      <c r="AA239" t="inlineStr">
        <is>
          <t>Specific card overrides general rules</t>
        </is>
      </c>
      <c r="AB239" t="inlineStr">
        <is>
          <t>Full card scan read; behaviour paraphrased (no card text copied)</t>
        </is>
      </c>
      <c r="AC239" t="inlineStr">
        <is>
          <t>FUNCTIONALLY COMPLETE</t>
        </is>
      </c>
      <c r="AD239" t="inlineStr">
        <is>
          <t>None</t>
        </is>
      </c>
      <c r="AE239" t="inlineStr">
        <is>
          <t>Card scan (GitHub: Cha0smagick/Virtual-Illuminati-New-World-order-INWO-game), read Sep 2026</t>
        </is>
      </c>
      <c r="AF239" t="inlineStr">
        <is>
          <t>N/A</t>
        </is>
      </c>
      <c r="AG239" t="inlineStr">
        <is>
          <t>N/A</t>
        </is>
      </c>
      <c r="AH239" t="inlineStr">
        <is>
          <t>N/A</t>
        </is>
      </c>
      <c r="AI239" t="inlineStr">
        <is>
          <t>N/A</t>
        </is>
      </c>
      <c r="AJ239" t="inlineStr">
        <is>
          <t>N/A</t>
        </is>
      </c>
      <c r="AK239" t="inlineStr">
        <is>
          <t>Official rules: non-Group card types do not use normal Group control-arrow geometry.</t>
        </is>
      </c>
    </row>
    <row r="240" ht="34" customHeight="1" s="16">
      <c r="A240" s="20" t="inlineStr">
        <is>
          <t>Deep Agent</t>
        </is>
      </c>
      <c r="B240" s="20" t="inlineStr">
        <is>
          <t>Plot</t>
        </is>
      </c>
      <c r="C240" s="20" t="inlineStr">
        <is>
          <t>Plot</t>
        </is>
      </c>
      <c r="D240" s="20" t="inlineStr">
        <is>
          <t>Common</t>
        </is>
      </c>
      <c r="E240" s="20" t="str"/>
      <c r="F240" s="20" t="str"/>
      <c r="G240" s="20" t="str"/>
      <c r="H240" s="20" t="str"/>
      <c r="I240" s="20" t="inlineStr">
        <is>
          <t>Play against a Privileged attack to remove its privilege completely. The attack still proceeds, but it cannot be made Privileged again. Playing the card is free, but each group that then interferes spends its own action to do so.</t>
        </is>
      </c>
      <c r="J240" s="20" t="inlineStr">
        <is>
          <t>Needs rules-engine encoding</t>
        </is>
      </c>
      <c r="K240" s="20" t="inlineStr">
        <is>
          <t>High</t>
        </is>
      </c>
      <c r="L240" s="20" t="str"/>
      <c r="M240" s="20" t="inlineStr">
        <is>
          <t>https://github.com/Cha0smagick/Virtual-Illuminati-New-World-order-INWO-game</t>
        </is>
      </c>
      <c r="N240" t="inlineStr">
        <is>
          <t>In response to a Privileged attack</t>
        </is>
      </c>
      <c r="O240" t="inlineStr">
        <is>
          <t>A Privileged attack</t>
        </is>
      </c>
      <c r="P240" t="inlineStr">
        <is>
          <t>None (free action); interfering groups each spend an action</t>
        </is>
      </c>
      <c r="Q240" t="inlineStr">
        <is>
          <t>Rest of that attack</t>
        </is>
      </c>
      <c r="R240" t="inlineStr">
        <is>
          <t>Attack loses Privileged status; privilege cannot be reinstated; interference now allowed</t>
        </is>
      </c>
      <c r="S240" t="inlineStr">
        <is>
          <t>NO</t>
        </is>
      </c>
      <c r="T240" t="inlineStr">
        <is>
          <t>N/A</t>
        </is>
      </c>
      <c r="U240" t="inlineStr">
        <is>
          <t>N/A</t>
        </is>
      </c>
      <c r="V240" t="inlineStr">
        <is>
          <t>N/A — INWO uses Plots instead of group income/money</t>
        </is>
      </c>
      <c r="W240" t="inlineStr">
        <is>
          <t>N/A</t>
        </is>
      </c>
      <c r="X240" t="inlineStr">
        <is>
          <t>No card-specific limit (base duplicate rules apply)</t>
        </is>
      </c>
      <c r="Y240" t="inlineStr">
        <is>
          <t>An attack is Privileged</t>
        </is>
      </c>
      <c r="Z240" t="inlineStr">
        <is>
          <t>Standard response window</t>
        </is>
      </c>
      <c r="AA240" t="inlineStr">
        <is>
          <t>Specific card overrides general rules</t>
        </is>
      </c>
      <c r="AB240" t="inlineStr">
        <is>
          <t>Full card scan read; behaviour paraphrased (no card text copied)</t>
        </is>
      </c>
      <c r="AC240" t="inlineStr">
        <is>
          <t>FUNCTIONALLY COMPLETE</t>
        </is>
      </c>
      <c r="AD240" t="inlineStr">
        <is>
          <t>None</t>
        </is>
      </c>
      <c r="AE240" t="inlineStr">
        <is>
          <t>Card scan (GitHub: Cha0smagick/Virtual-Illuminati-New-World-order-INWO-game), read Sep 2026</t>
        </is>
      </c>
      <c r="AF240" t="inlineStr">
        <is>
          <t>N/A</t>
        </is>
      </c>
      <c r="AG240" t="inlineStr">
        <is>
          <t>N/A</t>
        </is>
      </c>
      <c r="AH240" t="inlineStr">
        <is>
          <t>N/A</t>
        </is>
      </c>
      <c r="AI240" t="inlineStr">
        <is>
          <t>N/A</t>
        </is>
      </c>
      <c r="AJ240" t="inlineStr">
        <is>
          <t>N/A</t>
        </is>
      </c>
      <c r="AK240" t="inlineStr">
        <is>
          <t>Official rules: non-Group card types do not use normal Group control-arrow geometry.</t>
        </is>
      </c>
    </row>
    <row r="241" ht="34" customHeight="1" s="16">
      <c r="A241" s="20" t="inlineStr">
        <is>
          <t>Dictatorship</t>
        </is>
      </c>
      <c r="B241" s="20" t="inlineStr">
        <is>
          <t>Plot</t>
        </is>
      </c>
      <c r="C241" s="20" t="inlineStr">
        <is>
          <t>Plot</t>
        </is>
      </c>
      <c r="D241" s="20" t="inlineStr">
        <is>
          <t>Common</t>
        </is>
      </c>
      <c r="E241" s="20" t="str"/>
      <c r="F241" s="20" t="str"/>
      <c r="G241" s="20" t="str"/>
      <c r="H241" s="20" t="str"/>
      <c r="I241" s="20" t="inlineStr">
        <is>
          <t>Play during your turn on a Nation you control; this uses the action of that Nation or of its master. The Nation becomes a Dictatorship, gets +2 Power, and becomes Violent if it was not already. The card stays linked to the Nation.</t>
        </is>
      </c>
      <c r="J241" s="20" t="inlineStr">
        <is>
          <t>Needs rules-engine encoding</t>
        </is>
      </c>
      <c r="K241" s="20" t="inlineStr">
        <is>
          <t>High</t>
        </is>
      </c>
      <c r="L241" s="20" t="inlineStr">
        <is>
          <t>Linked to the Nation; presumably leaves play if the Nation does.</t>
        </is>
      </c>
      <c r="M241" s="20" t="inlineStr">
        <is>
          <t>https://github.com/Cha0smagick/Virtual-Illuminati-New-World-order-INWO-game</t>
        </is>
      </c>
      <c r="N241" t="inlineStr">
        <is>
          <t>Your turn</t>
        </is>
      </c>
      <c r="O241" t="inlineStr">
        <is>
          <t>One Nation you control</t>
        </is>
      </c>
      <c r="P241" t="inlineStr">
        <is>
          <t>Action of the target Nation or its master</t>
        </is>
      </c>
      <c r="Q241" t="inlineStr">
        <is>
          <t>Permanent while linked</t>
        </is>
      </c>
      <c r="R241" t="inlineStr">
        <is>
          <t>+2 Power; gains Violent alignment; tagged Dictatorship</t>
        </is>
      </c>
      <c r="S241" t="inlineStr">
        <is>
          <t>NO</t>
        </is>
      </c>
      <c r="T241" t="inlineStr">
        <is>
          <t>N/A</t>
        </is>
      </c>
      <c r="U241" t="inlineStr">
        <is>
          <t>N/A</t>
        </is>
      </c>
      <c r="V241" t="inlineStr">
        <is>
          <t>N/A — INWO uses Plots instead of group income/money</t>
        </is>
      </c>
      <c r="W241" t="inlineStr">
        <is>
          <t>N/A</t>
        </is>
      </c>
      <c r="X241" t="inlineStr">
        <is>
          <t>No card-specific limit (base duplicate rules apply)</t>
        </is>
      </c>
      <c r="Y241" t="inlineStr">
        <is>
          <t>Your turn; you control the Nation; Nation or its master has an action available</t>
        </is>
      </c>
      <c r="Z241" t="inlineStr">
        <is>
          <t>Standard response window</t>
        </is>
      </c>
      <c r="AA241" t="inlineStr">
        <is>
          <t>Specific card overrides general rules</t>
        </is>
      </c>
      <c r="AB241" t="inlineStr">
        <is>
          <t>Full card scan read; behaviour paraphrased (no card text copied)</t>
        </is>
      </c>
      <c r="AC241" t="inlineStr">
        <is>
          <t>FUNCTIONALLY COMPLETE</t>
        </is>
      </c>
      <c r="AD241" t="inlineStr">
        <is>
          <t>None</t>
        </is>
      </c>
      <c r="AE241" t="inlineStr">
        <is>
          <t>Card scan (GitHub: Cha0smagick/Virtual-Illuminati-New-World-order-INWO-game), read Sep 2026</t>
        </is>
      </c>
      <c r="AF241" t="inlineStr">
        <is>
          <t>N/A</t>
        </is>
      </c>
      <c r="AG241" t="inlineStr">
        <is>
          <t>N/A</t>
        </is>
      </c>
      <c r="AH241" t="inlineStr">
        <is>
          <t>N/A</t>
        </is>
      </c>
      <c r="AI241" t="inlineStr">
        <is>
          <t>N/A</t>
        </is>
      </c>
      <c r="AJ241" t="inlineStr">
        <is>
          <t>N/A</t>
        </is>
      </c>
      <c r="AK241" t="inlineStr">
        <is>
          <t>Official rules: non-Group card types do not use normal Group control-arrow geometry.</t>
        </is>
      </c>
    </row>
    <row r="242" ht="34" customHeight="1" s="16">
      <c r="A242" s="20" t="inlineStr">
        <is>
          <t>Dollars for Decency</t>
        </is>
      </c>
      <c r="B242" s="20" t="inlineStr">
        <is>
          <t>Plot</t>
        </is>
      </c>
      <c r="C242" s="20" t="inlineStr">
        <is>
          <t>Plot</t>
        </is>
      </c>
      <c r="D242" s="20" t="inlineStr">
        <is>
          <t>Uncommon</t>
        </is>
      </c>
      <c r="E242" s="20" t="str"/>
      <c r="F242" s="20" t="str"/>
      <c r="G242" s="20" t="str"/>
      <c r="H242" s="20" t="str"/>
      <c r="I242" s="20" t="inlineStr">
        <is>
          <t>Play at any time by spending your Illuminati's action. Give an Action token to Straight groups of yours that have none: several whose Power adds up to 5 or less, or any single one. Groups captured this turn, or barred from receiving Action tokens by a card or special ability, cannot be chosen. (Official correction applied.)</t>
        </is>
      </c>
      <c r="J242" s="20" t="inlineStr">
        <is>
          <t>Needs rules-engine encoding</t>
        </is>
      </c>
      <c r="K242" s="20" t="inlineStr">
        <is>
          <t>High</t>
        </is>
      </c>
      <c r="L242" s="20" t="inlineStr">
        <is>
          <t>Groups prevented from getting Action tokens are excluded.</t>
        </is>
      </c>
      <c r="M242" s="20" t="inlineStr">
        <is>
          <t>https://github.com/Cha0smagick/Virtual-Illuminati-New-World-order-INWO-game</t>
        </is>
      </c>
      <c r="N242" t="inlineStr">
        <is>
          <t>Play at any time</t>
        </is>
      </c>
      <c r="O242" t="inlineStr">
        <is>
          <t>Your Straight groups without an Action token, not captured this turn: up to 5 total Power, or any one group</t>
        </is>
      </c>
      <c r="P242" t="inlineStr">
        <is>
          <t>1 Illuminati action (errata)</t>
        </is>
      </c>
      <c r="Q242" t="inlineStr">
        <is>
          <t>Immediate</t>
        </is>
      </c>
      <c r="R242" t="inlineStr">
        <is>
          <t>Chosen Straight groups of yours with no Action token gain one (5 total Power at most, or a single group of any Power)</t>
        </is>
      </c>
      <c r="S242" t="inlineStr">
        <is>
          <t>NO</t>
        </is>
      </c>
      <c r="T242" t="inlineStr">
        <is>
          <t>N/A</t>
        </is>
      </c>
      <c r="U242" t="inlineStr">
        <is>
          <t>N/A</t>
        </is>
      </c>
      <c r="V242" t="inlineStr">
        <is>
          <t>N/A — INWO uses Plots instead of group income/money</t>
        </is>
      </c>
      <c r="W242" t="inlineStr">
        <is>
          <t>N/A</t>
        </is>
      </c>
      <c r="X242" t="inlineStr">
        <is>
          <t>No card-specific limit (base duplicate rules apply)</t>
        </is>
      </c>
      <c r="Y242" t="inlineStr">
        <is>
          <t>None beyond base rules</t>
        </is>
      </c>
      <c r="Z242" t="inlineStr">
        <is>
          <t>Standard response window</t>
        </is>
      </c>
      <c r="AA242" t="inlineStr">
        <is>
          <t>Specific card overrides general rules</t>
        </is>
      </c>
      <c r="AB242" t="inlineStr">
        <is>
          <t>Full card scan read; behaviour paraphrased (no card text copied)</t>
        </is>
      </c>
      <c r="AC242" t="inlineStr">
        <is>
          <t>FUNCTIONALLY COMPLETE</t>
        </is>
      </c>
      <c r="AD242" t="inlineStr">
        <is>
          <t>None</t>
        </is>
      </c>
      <c r="AE242" t="inlineStr">
        <is>
          <t>Card scan (GitHub: Cha0smagick/Virtual-Illuminati-New-World-order-INWO-game), read Sep 2026</t>
        </is>
      </c>
      <c r="AF242" t="inlineStr">
        <is>
          <t>N/A</t>
        </is>
      </c>
      <c r="AG242" t="inlineStr">
        <is>
          <t>N/A</t>
        </is>
      </c>
      <c r="AH242" t="inlineStr">
        <is>
          <t>N/A</t>
        </is>
      </c>
      <c r="AI242" t="inlineStr">
        <is>
          <t>N/A</t>
        </is>
      </c>
      <c r="AJ242" t="inlineStr">
        <is>
          <t>N/A</t>
        </is>
      </c>
      <c r="AK242" t="inlineStr">
        <is>
          <t>Official rules: non-Group card types do not use normal Group control-arrow geometry.</t>
        </is>
      </c>
    </row>
    <row r="243" ht="34" customHeight="1" s="16">
      <c r="A243" s="20" t="inlineStr">
        <is>
          <t>Double-Cross</t>
        </is>
      </c>
      <c r="B243" s="20" t="inlineStr">
        <is>
          <t>Plot</t>
        </is>
      </c>
      <c r="C243" s="20" t="inlineStr">
        <is>
          <t>Plot</t>
        </is>
      </c>
      <c r="D243" s="20" t="inlineStr">
        <is>
          <t>Common</t>
        </is>
      </c>
      <c r="E243" s="20" t="str"/>
      <c r="F243" s="20" t="str"/>
      <c r="G243" s="20" t="str"/>
      <c r="H243" s="20" t="str"/>
      <c r="I243" s="20" t="inlineStr">
        <is>
          <t>Play when a rival plays a Plot card to see your hidden Plots. That rival loses the spying Plot along with any actions spent on it, and sees and takes nothing from you.</t>
        </is>
      </c>
      <c r="J243" s="20" t="inlineStr">
        <is>
          <t>Needs rules-engine encoding</t>
        </is>
      </c>
      <c r="K243" s="20" t="inlineStr">
        <is>
          <t>High</t>
        </is>
      </c>
      <c r="L243" s="20" t="str"/>
      <c r="M243" s="20" t="inlineStr">
        <is>
          <t>https://github.com/Cha0smagick/Virtual-Illuminati-New-World-order-INWO-game</t>
        </is>
      </c>
      <c r="N243" t="inlineStr">
        <is>
          <t>In response to a rival's Plot card that looks at your hidden Plots</t>
        </is>
      </c>
      <c r="O243" t="inlineStr">
        <is>
          <t>The rival's spying Plot card</t>
        </is>
      </c>
      <c r="P243" t="inlineStr">
        <is>
          <t>None</t>
        </is>
      </c>
      <c r="Q243" t="inlineStr">
        <is>
          <t>Immediate</t>
        </is>
      </c>
      <c r="R243" t="inlineStr">
        <is>
          <t>Cancel spying Plot; rival discards it; actions spent on it are lost; no cards seen or stolen</t>
        </is>
      </c>
      <c r="S243" t="inlineStr">
        <is>
          <t>NO</t>
        </is>
      </c>
      <c r="T243" t="inlineStr">
        <is>
          <t>N/A</t>
        </is>
      </c>
      <c r="U243" t="inlineStr">
        <is>
          <t>N/A</t>
        </is>
      </c>
      <c r="V243" t="inlineStr">
        <is>
          <t>N/A — INWO uses Plots instead of group income/money</t>
        </is>
      </c>
      <c r="W243" t="inlineStr">
        <is>
          <t>N/A</t>
        </is>
      </c>
      <c r="X243" t="inlineStr">
        <is>
          <t>No card-specific limit (base duplicate rules apply)</t>
        </is>
      </c>
      <c r="Y243" t="inlineStr">
        <is>
          <t>A rival's Plot is trying to view the Plots you keep hidden</t>
        </is>
      </c>
      <c r="Z243" t="inlineStr">
        <is>
          <t>Standard response window</t>
        </is>
      </c>
      <c r="AA243" t="inlineStr">
        <is>
          <t>Specific card overrides general rules</t>
        </is>
      </c>
      <c r="AB243" t="inlineStr">
        <is>
          <t>Full card scan read; behaviour paraphrased (no card text copied)</t>
        </is>
      </c>
      <c r="AC243" t="inlineStr">
        <is>
          <t>FUNCTIONALLY COMPLETE</t>
        </is>
      </c>
      <c r="AD243" t="inlineStr">
        <is>
          <t>None</t>
        </is>
      </c>
      <c r="AE243" t="inlineStr">
        <is>
          <t>Card scan (GitHub: Cha0smagick/Virtual-Illuminati-New-World-order-INWO-game), read Sep 2026</t>
        </is>
      </c>
      <c r="AF243" t="inlineStr">
        <is>
          <t>N/A</t>
        </is>
      </c>
      <c r="AG243" t="inlineStr">
        <is>
          <t>N/A</t>
        </is>
      </c>
      <c r="AH243" t="inlineStr">
        <is>
          <t>N/A</t>
        </is>
      </c>
      <c r="AI243" t="inlineStr">
        <is>
          <t>N/A</t>
        </is>
      </c>
      <c r="AJ243" t="inlineStr">
        <is>
          <t>N/A</t>
        </is>
      </c>
      <c r="AK243" t="inlineStr">
        <is>
          <t>Official rules: non-Group card types do not use normal Group control-arrow geometry.</t>
        </is>
      </c>
    </row>
    <row r="244" ht="34" customHeight="1" s="16">
      <c r="A244" s="20" t="inlineStr">
        <is>
          <t>Early Warning</t>
        </is>
      </c>
      <c r="B244" s="20" t="inlineStr">
        <is>
          <t>Plot</t>
        </is>
      </c>
      <c r="C244" s="20" t="inlineStr">
        <is>
          <t>Plot</t>
        </is>
      </c>
      <c r="D244" s="20" t="inlineStr">
        <is>
          <t>Common</t>
        </is>
      </c>
      <c r="E244" s="20" t="str"/>
      <c r="F244" s="20" t="str"/>
      <c r="G244" s="20" t="str"/>
      <c r="H244" s="20" t="str"/>
      <c r="I244" s="20" t="inlineStr">
        <is>
          <t>Gives one Place +10 to its defense against a Disaster. Playing it is a free action.</t>
        </is>
      </c>
      <c r="J244" s="20" t="inlineStr">
        <is>
          <t>Needs rules-engine encoding</t>
        </is>
      </c>
      <c r="K244" s="20" t="inlineStr">
        <is>
          <t>High</t>
        </is>
      </c>
      <c r="L244" s="20" t="inlineStr">
        <is>
          <t>Card doesn't restrict to your own Place; can protect any Place.</t>
        </is>
      </c>
      <c r="M244" s="20" t="inlineStr">
        <is>
          <t>https://github.com/Cha0smagick/Virtual-Illuminati-New-World-order-INWO-game</t>
        </is>
      </c>
      <c r="N244" t="inlineStr">
        <is>
          <t>In response to a Disaster attack on a Place</t>
        </is>
      </c>
      <c r="O244" t="inlineStr">
        <is>
          <t>One Place being attacked by a Disaster</t>
        </is>
      </c>
      <c r="P244" t="inlineStr">
        <is>
          <t>None (free action)</t>
        </is>
      </c>
      <c r="Q244" t="inlineStr">
        <is>
          <t>That Disaster attack</t>
        </is>
      </c>
      <c r="R244" t="inlineStr">
        <is>
          <t>+10 to defense vs the Disaster</t>
        </is>
      </c>
      <c r="S244" t="inlineStr">
        <is>
          <t>NO</t>
        </is>
      </c>
      <c r="T244" t="inlineStr">
        <is>
          <t>N/A</t>
        </is>
      </c>
      <c r="U244" t="inlineStr">
        <is>
          <t>N/A</t>
        </is>
      </c>
      <c r="V244" t="inlineStr">
        <is>
          <t>N/A — INWO uses Plots instead of group income/money</t>
        </is>
      </c>
      <c r="W244" t="inlineStr">
        <is>
          <t>N/A</t>
        </is>
      </c>
      <c r="X244" t="inlineStr">
        <is>
          <t>No card-specific limit (base duplicate rules apply)</t>
        </is>
      </c>
      <c r="Y244" t="inlineStr">
        <is>
          <t>A Disaster is attacking a Place</t>
        </is>
      </c>
      <c r="Z244" t="inlineStr">
        <is>
          <t>Standard response window</t>
        </is>
      </c>
      <c r="AA244" t="inlineStr">
        <is>
          <t>Specific card overrides general rules</t>
        </is>
      </c>
      <c r="AB244" t="inlineStr">
        <is>
          <t>Full card scan read; behaviour paraphrased (no card text copied)</t>
        </is>
      </c>
      <c r="AC244" t="inlineStr">
        <is>
          <t>FUNCTIONALLY COMPLETE</t>
        </is>
      </c>
      <c r="AD244" t="inlineStr">
        <is>
          <t>None</t>
        </is>
      </c>
      <c r="AE244" t="inlineStr">
        <is>
          <t>Card scan (GitHub: Cha0smagick/Virtual-Illuminati-New-World-order-INWO-game), read Sep 2026</t>
        </is>
      </c>
      <c r="AF244" t="inlineStr">
        <is>
          <t>N/A</t>
        </is>
      </c>
      <c r="AG244" t="inlineStr">
        <is>
          <t>N/A</t>
        </is>
      </c>
      <c r="AH244" t="inlineStr">
        <is>
          <t>N/A</t>
        </is>
      </c>
      <c r="AI244" t="inlineStr">
        <is>
          <t>N/A</t>
        </is>
      </c>
      <c r="AJ244" t="inlineStr">
        <is>
          <t>N/A</t>
        </is>
      </c>
      <c r="AK244" t="inlineStr">
        <is>
          <t>Official rules: non-Group card types do not use normal Group control-arrow geometry.</t>
        </is>
      </c>
    </row>
    <row r="245" ht="34" customHeight="1" s="16">
      <c r="A245" s="20" t="inlineStr">
        <is>
          <t>Earthquake</t>
        </is>
      </c>
      <c r="B245" s="20" t="inlineStr">
        <is>
          <t>Plot</t>
        </is>
      </c>
      <c r="C245" s="20" t="inlineStr">
        <is>
          <t>Disaster</t>
        </is>
      </c>
      <c r="D245" s="20" t="inlineStr">
        <is>
          <t>Common</t>
        </is>
      </c>
      <c r="E245" s="20" t="inlineStr">
        <is>
          <t>12 vs Huge Place / 16 vs other Place</t>
        </is>
      </c>
      <c r="F245" s="20" t="str"/>
      <c r="G245" s="20" t="str"/>
      <c r="H245" s="20" t="str"/>
      <c r="I245" s="20" t="inlineStr">
        <is>
          <t>Disaster. Instant Attack to Destroy a Place; no action needed. Attack Power is 12 versus a Huge Place and 16 versus other Places. A success Devastates the target; beating the needed roll by more than 5 destroys it.</t>
        </is>
      </c>
      <c r="J245" s="20" t="inlineStr">
        <is>
          <t>Needs rules-engine encoding</t>
        </is>
      </c>
      <c r="K245" s="20" t="inlineStr">
        <is>
          <t>High</t>
        </is>
      </c>
      <c r="L245" s="20" t="inlineStr">
        <is>
          <t>Power varies by target size.</t>
        </is>
      </c>
      <c r="M245" s="20" t="inlineStr">
        <is>
          <t>https://github.com/Cha0smagick/Virtual-Illuminati-New-World-order-INWO-game</t>
        </is>
      </c>
      <c r="N245" t="inlineStr">
        <is>
          <t>Play as an attack (no action required)</t>
        </is>
      </c>
      <c r="O245" t="inlineStr">
        <is>
          <t>Any Place</t>
        </is>
      </c>
      <c r="P245" t="inlineStr">
        <is>
          <t>None</t>
        </is>
      </c>
      <c r="Q245" t="inlineStr">
        <is>
          <t>Immediate</t>
        </is>
      </c>
      <c r="R245" t="inlineStr">
        <is>
          <t>Instant Attack to Destroy; success = Devastated; success by 6+ = destroyed</t>
        </is>
      </c>
      <c r="S245" t="inlineStr">
        <is>
          <t>NO</t>
        </is>
      </c>
      <c r="T245" t="inlineStr">
        <is>
          <t>N/A</t>
        </is>
      </c>
      <c r="U245" t="inlineStr">
        <is>
          <t>N/A</t>
        </is>
      </c>
      <c r="V245" t="inlineStr">
        <is>
          <t>N/A — INWO uses Plots instead of group income/money</t>
        </is>
      </c>
      <c r="W245" t="inlineStr">
        <is>
          <t>N/A</t>
        </is>
      </c>
      <c r="X245" t="inlineStr">
        <is>
          <t>No card-specific limit (base duplicate rules apply)</t>
        </is>
      </c>
      <c r="Y245" t="inlineStr">
        <is>
          <t>None beyond base rules</t>
        </is>
      </c>
      <c r="Z245" t="inlineStr">
        <is>
          <t>Instant attack: no interference by groups (standard Instant rules)</t>
        </is>
      </c>
      <c r="AA245" t="inlineStr">
        <is>
          <t>Specific card overrides general rules</t>
        </is>
      </c>
      <c r="AB245" t="inlineStr">
        <is>
          <t>Full card scan read; behaviour paraphrased (no card text copied)</t>
        </is>
      </c>
      <c r="AC245" t="inlineStr">
        <is>
          <t>FUNCTIONALLY COMPLETE</t>
        </is>
      </c>
      <c r="AD245" t="inlineStr">
        <is>
          <t>None</t>
        </is>
      </c>
      <c r="AE245" t="inlineStr">
        <is>
          <t>Card scan (GitHub: Cha0smagick/Virtual-Illuminati-New-World-order-INWO-game), read Sep 2026</t>
        </is>
      </c>
      <c r="AF245" t="inlineStr">
        <is>
          <t>N/A</t>
        </is>
      </c>
      <c r="AG245" t="inlineStr">
        <is>
          <t>N/A</t>
        </is>
      </c>
      <c r="AH245" t="inlineStr">
        <is>
          <t>N/A</t>
        </is>
      </c>
      <c r="AI245" t="inlineStr">
        <is>
          <t>N/A</t>
        </is>
      </c>
      <c r="AJ245" t="inlineStr">
        <is>
          <t>N/A</t>
        </is>
      </c>
      <c r="AK245" t="inlineStr">
        <is>
          <t>Official rules: non-Group card types do not use normal Group control-arrow geometry.</t>
        </is>
      </c>
    </row>
    <row r="246" ht="34" customHeight="1" s="16">
      <c r="A246" s="20" t="inlineStr">
        <is>
          <t>Earth Magic</t>
        </is>
      </c>
      <c r="B246" s="20" t="inlineStr">
        <is>
          <t>Plot</t>
        </is>
      </c>
      <c r="C246" s="20" t="inlineStr">
        <is>
          <t>Plot</t>
        </is>
      </c>
      <c r="D246" s="20" t="inlineStr">
        <is>
          <t>Common</t>
        </is>
      </c>
      <c r="E246" s="20" t="str"/>
      <c r="F246" s="20" t="str"/>
      <c r="G246" s="20" t="str"/>
      <c r="H246" s="20" t="str"/>
      <c r="I246" s="20" t="inlineStr">
        <is>
          <t>Play to help protect a Place from a Disaster. While in effect, any Magic groups in play may spend their Action tokens to oppose that Disaster attack.</t>
        </is>
      </c>
      <c r="J246" s="20" t="inlineStr">
        <is>
          <t>Needs rules-engine encoding</t>
        </is>
      </c>
      <c r="K246" s="20" t="inlineStr">
        <is>
          <t>High</t>
        </is>
      </c>
      <c r="L246" s="20" t="inlineStr">
        <is>
          <t>Useful against Instant Disasters, which otherwise disallow interference (inferred).</t>
        </is>
      </c>
      <c r="M246" s="20" t="inlineStr">
        <is>
          <t>https://github.com/Cha0smagick/Virtual-Illuminati-New-World-order-INWO-game</t>
        </is>
      </c>
      <c r="N246" t="inlineStr">
        <is>
          <t>In response to a Disaster attack on a Place</t>
        </is>
      </c>
      <c r="O246" t="inlineStr">
        <is>
          <t>A Place attacked by a Disaster</t>
        </is>
      </c>
      <c r="P246" t="inlineStr">
        <is>
          <t>None to play; Magic groups spend their own actions to oppose</t>
        </is>
      </c>
      <c r="Q246" t="inlineStr">
        <is>
          <t>That Disaster attack</t>
        </is>
      </c>
      <c r="R246" t="inlineStr">
        <is>
          <t>Magic groups (any player's) may use actions to oppose the Disaster</t>
        </is>
      </c>
      <c r="S246" t="inlineStr">
        <is>
          <t>NO</t>
        </is>
      </c>
      <c r="T246" t="inlineStr">
        <is>
          <t>N/A</t>
        </is>
      </c>
      <c r="U246" t="inlineStr">
        <is>
          <t>N/A</t>
        </is>
      </c>
      <c r="V246" t="inlineStr">
        <is>
          <t>N/A — INWO uses Plots instead of group income/money</t>
        </is>
      </c>
      <c r="W246" t="inlineStr">
        <is>
          <t>N/A</t>
        </is>
      </c>
      <c r="X246" t="inlineStr">
        <is>
          <t>No card-specific limit (base duplicate rules apply)</t>
        </is>
      </c>
      <c r="Y246" t="inlineStr">
        <is>
          <t>A Disaster attack on a Place is in progress</t>
        </is>
      </c>
      <c r="Z246" t="inlineStr">
        <is>
          <t>Standard response window</t>
        </is>
      </c>
      <c r="AA246" t="inlineStr">
        <is>
          <t>Specific card overrides general rules</t>
        </is>
      </c>
      <c r="AB246" t="inlineStr">
        <is>
          <t>Full card scan read; behaviour paraphrased (no card text copied)</t>
        </is>
      </c>
      <c r="AC246" t="inlineStr">
        <is>
          <t>FUNCTIONALLY COMPLETE</t>
        </is>
      </c>
      <c r="AD246" t="inlineStr">
        <is>
          <t>None</t>
        </is>
      </c>
      <c r="AE246" t="inlineStr">
        <is>
          <t>Card scan (GitHub: Cha0smagick/Virtual-Illuminati-New-World-order-INWO-game), read Sep 2026</t>
        </is>
      </c>
      <c r="AF246" t="inlineStr">
        <is>
          <t>N/A</t>
        </is>
      </c>
      <c r="AG246" t="inlineStr">
        <is>
          <t>N/A</t>
        </is>
      </c>
      <c r="AH246" t="inlineStr">
        <is>
          <t>N/A</t>
        </is>
      </c>
      <c r="AI246" t="inlineStr">
        <is>
          <t>N/A</t>
        </is>
      </c>
      <c r="AJ246" t="inlineStr">
        <is>
          <t>N/A</t>
        </is>
      </c>
      <c r="AK246" t="inlineStr">
        <is>
          <t>Official rules: non-Group card types do not use normal Group control-arrow geometry.</t>
        </is>
      </c>
    </row>
    <row r="247" ht="34" customHeight="1" s="16">
      <c r="A247" s="20" t="inlineStr">
        <is>
          <t>Eat the Rich!</t>
        </is>
      </c>
      <c r="B247" s="20" t="inlineStr">
        <is>
          <t>Plot</t>
        </is>
      </c>
      <c r="C247" s="20" t="inlineStr">
        <is>
          <t>Plot</t>
        </is>
      </c>
      <c r="D247" s="20" t="inlineStr">
        <is>
          <t>Rare</t>
        </is>
      </c>
      <c r="E247" s="20" t="str"/>
      <c r="F247" s="20" t="str"/>
      <c r="G247" s="20" t="str"/>
      <c r="H247" s="20" t="str"/>
      <c r="I247" s="20" t="inlineStr">
        <is>
          <t>Play alongside a Media group that is leading or aiding an Attack to Destroy on a Group of Power 6 or higher. That attack gains +10 and becomes Privileged.</t>
        </is>
      </c>
      <c r="J247" s="20" t="inlineStr">
        <is>
          <t>Needs rules-engine encoding</t>
        </is>
      </c>
      <c r="K247" s="20" t="inlineStr">
        <is>
          <t>High</t>
        </is>
      </c>
      <c r="L247" s="20" t="str"/>
      <c r="M247" s="20" t="inlineStr">
        <is>
          <t>https://github.com/Cha0smagick/Virtual-Illuminati-New-World-order-INWO-game</t>
        </is>
      </c>
      <c r="N247" t="inlineStr">
        <is>
          <t>During an Attack to Destroy made or aided by a Media group</t>
        </is>
      </c>
      <c r="O247" t="inlineStr">
        <is>
          <t>A destroy attack on a Group of Power 6 or higher</t>
        </is>
      </c>
      <c r="P247" t="inlineStr">
        <is>
          <t>None beyond the attack/aid itself</t>
        </is>
      </c>
      <c r="Q247" t="inlineStr">
        <is>
          <t>That attack</t>
        </is>
      </c>
      <c r="R247" t="inlineStr">
        <is>
          <t>+10 to attack; attack becomes Privileged</t>
        </is>
      </c>
      <c r="S247" t="inlineStr">
        <is>
          <t>NO</t>
        </is>
      </c>
      <c r="T247" t="inlineStr">
        <is>
          <t>N/A</t>
        </is>
      </c>
      <c r="U247" t="inlineStr">
        <is>
          <t>N/A</t>
        </is>
      </c>
      <c r="V247" t="inlineStr">
        <is>
          <t>N/A — INWO uses Plots instead of group income/money</t>
        </is>
      </c>
      <c r="W247" t="inlineStr">
        <is>
          <t>N/A</t>
        </is>
      </c>
      <c r="X247" t="inlineStr">
        <is>
          <t>No card-specific limit (base duplicate rules apply)</t>
        </is>
      </c>
      <c r="Y247" t="inlineStr">
        <is>
          <t>Attack to Destroy; target Group has Power &gt;= 6; played by a Media group attacking or aiding</t>
        </is>
      </c>
      <c r="Z247" t="inlineStr">
        <is>
          <t>Standard response window</t>
        </is>
      </c>
      <c r="AA247" t="inlineStr">
        <is>
          <t>Specific card overrides general rules</t>
        </is>
      </c>
      <c r="AB247" t="inlineStr">
        <is>
          <t>Full card scan read; behaviour paraphrased (no card text copied)</t>
        </is>
      </c>
      <c r="AC247" t="inlineStr">
        <is>
          <t>FUNCTIONALLY COMPLETE</t>
        </is>
      </c>
      <c r="AD247" t="inlineStr">
        <is>
          <t>None</t>
        </is>
      </c>
      <c r="AE247" t="inlineStr">
        <is>
          <t>Card scan (GitHub: Cha0smagick/Virtual-Illuminati-New-World-order-INWO-game), read Sep 2026</t>
        </is>
      </c>
      <c r="AF247" t="inlineStr">
        <is>
          <t>N/A</t>
        </is>
      </c>
      <c r="AG247" t="inlineStr">
        <is>
          <t>N/A</t>
        </is>
      </c>
      <c r="AH247" t="inlineStr">
        <is>
          <t>N/A</t>
        </is>
      </c>
      <c r="AI247" t="inlineStr">
        <is>
          <t>N/A</t>
        </is>
      </c>
      <c r="AJ247" t="inlineStr">
        <is>
          <t>N/A</t>
        </is>
      </c>
      <c r="AK247" t="inlineStr">
        <is>
          <t>Official rules: non-Group card types do not use normal Group control-arrow geometry.</t>
        </is>
      </c>
    </row>
    <row r="248" ht="34" customHeight="1" s="16">
      <c r="A248" s="20" t="inlineStr">
        <is>
          <t>Embezzlement</t>
        </is>
      </c>
      <c r="B248" s="20" t="inlineStr">
        <is>
          <t>Plot</t>
        </is>
      </c>
      <c r="C248" s="20" t="inlineStr">
        <is>
          <t>Plot</t>
        </is>
      </c>
      <c r="D248" s="20" t="inlineStr">
        <is>
          <t>Rare</t>
        </is>
      </c>
      <c r="E248" s="20" t="str"/>
      <c r="F248" s="20" t="str"/>
      <c r="G248" s="20" t="str"/>
      <c r="H248" s="20" t="str"/>
      <c r="I248" s="20" t="inlineStr">
        <is>
          <t>Play as soon as another player draws a Plot card, before it is used or shown. You take that Plot into your hand, and you must discard a different Plot from your hand.</t>
        </is>
      </c>
      <c r="J248" s="20" t="inlineStr">
        <is>
          <t>Needs rules-engine encoding</t>
        </is>
      </c>
      <c r="K248" s="20" t="inlineStr">
        <is>
          <t>High</t>
        </is>
      </c>
      <c r="L248" s="20" t="inlineStr">
        <is>
          <t>Bottom banner: requires Plot discard.</t>
        </is>
      </c>
      <c r="M248" s="20" t="inlineStr">
        <is>
          <t>https://github.com/Cha0smagick/Virtual-Illuminati-New-World-order-INWO-game</t>
        </is>
      </c>
      <c r="N248" t="inlineStr">
        <is>
          <t>As soon as some other player takes a Plot card from the deck</t>
        </is>
      </c>
      <c r="O248" t="inlineStr">
        <is>
          <t>The Plot card just drawn by another player</t>
        </is>
      </c>
      <c r="P248" t="inlineStr">
        <is>
          <t>Discard one other Plot card from your hand</t>
        </is>
      </c>
      <c r="Q248" t="inlineStr">
        <is>
          <t>Immediate</t>
        </is>
      </c>
      <c r="R248" t="inlineStr">
        <is>
          <t>Take the rival's newly drawn Plot; discard 1 other Plot from your hand</t>
        </is>
      </c>
      <c r="S248" t="inlineStr">
        <is>
          <t>NO</t>
        </is>
      </c>
      <c r="T248" t="inlineStr">
        <is>
          <t>N/A</t>
        </is>
      </c>
      <c r="U248" t="inlineStr">
        <is>
          <t>N/A</t>
        </is>
      </c>
      <c r="V248" t="inlineStr">
        <is>
          <t>N/A — INWO uses Plots instead of group income/money</t>
        </is>
      </c>
      <c r="W248" t="inlineStr">
        <is>
          <t>N/A</t>
        </is>
      </c>
      <c r="X248" t="inlineStr">
        <is>
          <t>No card-specific limit (base duplicate rules apply)</t>
        </is>
      </c>
      <c r="Y248" t="inlineStr">
        <is>
          <t>Another player has just drawn a Plot and not yet used or announced it; you have another Plot in hand to discard</t>
        </is>
      </c>
      <c r="Z248" t="inlineStr">
        <is>
          <t>Must be played immediately upon the draw</t>
        </is>
      </c>
      <c r="AA248" t="inlineStr">
        <is>
          <t>Specific card overrides general rules</t>
        </is>
      </c>
      <c r="AB248" t="inlineStr">
        <is>
          <t>Full card scan read; behaviour paraphrased (no card text copied)</t>
        </is>
      </c>
      <c r="AC248" t="inlineStr">
        <is>
          <t>FUNCTIONALLY COMPLETE</t>
        </is>
      </c>
      <c r="AD248" t="inlineStr">
        <is>
          <t>None</t>
        </is>
      </c>
      <c r="AE248" t="inlineStr">
        <is>
          <t>Card scan (GitHub: Cha0smagick/Virtual-Illuminati-New-World-order-INWO-game), read Sep 2026</t>
        </is>
      </c>
      <c r="AF248" t="inlineStr">
        <is>
          <t>N/A</t>
        </is>
      </c>
      <c r="AG248" t="inlineStr">
        <is>
          <t>N/A</t>
        </is>
      </c>
      <c r="AH248" t="inlineStr">
        <is>
          <t>N/A</t>
        </is>
      </c>
      <c r="AI248" t="inlineStr">
        <is>
          <t>N/A</t>
        </is>
      </c>
      <c r="AJ248" t="inlineStr">
        <is>
          <t>N/A</t>
        </is>
      </c>
      <c r="AK248" t="inlineStr">
        <is>
          <t>Official rules: non-Group card types do not use normal Group control-arrow geometry.</t>
        </is>
      </c>
    </row>
    <row r="249" ht="34" customHeight="1" s="16">
      <c r="A249" s="20" t="inlineStr">
        <is>
          <t>Emergency Powers</t>
        </is>
      </c>
      <c r="B249" s="20" t="inlineStr">
        <is>
          <t>Plot</t>
        </is>
      </c>
      <c r="C249" s="20" t="inlineStr">
        <is>
          <t>Plot</t>
        </is>
      </c>
      <c r="D249" s="20" t="inlineStr">
        <is>
          <t>Common</t>
        </is>
      </c>
      <c r="E249" s="20" t="str"/>
      <c r="F249" s="20" t="str"/>
      <c r="G249" s="20" t="str"/>
      <c r="H249" s="20" t="str"/>
      <c r="I249" s="20" t="inlineStr">
        <is>
          <t>Link to one Government group at any time, using that group's action. The group's Power becomes 6 at once. Each player may have only a single Emergency Powers in play.</t>
        </is>
      </c>
      <c r="J249" s="20" t="inlineStr">
        <is>
          <t>Needs rules-engine encoding</t>
        </is>
      </c>
      <c r="K249" s="20" t="inlineStr">
        <is>
          <t>High</t>
        </is>
      </c>
      <c r="L249" s="20" t="inlineStr">
        <is>
          <t>Card says Power 'increased to 6'; presumably no effect if already 6+.</t>
        </is>
      </c>
      <c r="M249" s="20" t="inlineStr">
        <is>
          <t>https://github.com/Cha0smagick/Virtual-Illuminati-New-World-order-INWO-game</t>
        </is>
      </c>
      <c r="N249" t="inlineStr">
        <is>
          <t>Play at any time</t>
        </is>
      </c>
      <c r="O249" t="inlineStr">
        <is>
          <t>One Government group (your chosen)</t>
        </is>
      </c>
      <c r="P249" t="inlineStr">
        <is>
          <t>Action of the affected Government group</t>
        </is>
      </c>
      <c r="Q249" t="inlineStr">
        <is>
          <t>Permanent while linked</t>
        </is>
      </c>
      <c r="R249" t="inlineStr">
        <is>
          <t>Set Power to 6</t>
        </is>
      </c>
      <c r="S249" t="inlineStr">
        <is>
          <t>NO</t>
        </is>
      </c>
      <c r="T249" t="inlineStr">
        <is>
          <t>N/A</t>
        </is>
      </c>
      <c r="U249" t="inlineStr">
        <is>
          <t>N/A</t>
        </is>
      </c>
      <c r="V249" t="inlineStr">
        <is>
          <t>N/A — INWO uses Plots instead of group income/money</t>
        </is>
      </c>
      <c r="W249" t="inlineStr">
        <is>
          <t>N/A</t>
        </is>
      </c>
      <c r="X249" t="inlineStr">
        <is>
          <t>Limit per player: a single copy on the table</t>
        </is>
      </c>
      <c r="Y249" t="inlineStr">
        <is>
          <t>Target Government group has an action available</t>
        </is>
      </c>
      <c r="Z249" t="inlineStr">
        <is>
          <t>Standard response window</t>
        </is>
      </c>
      <c r="AA249" t="inlineStr">
        <is>
          <t>Specific card overrides general rules</t>
        </is>
      </c>
      <c r="AB249" t="inlineStr">
        <is>
          <t>Full card scan read; behaviour paraphrased (no card text copied)</t>
        </is>
      </c>
      <c r="AC249" t="inlineStr">
        <is>
          <t>FUNCTIONALLY COMPLETE</t>
        </is>
      </c>
      <c r="AD249" t="inlineStr">
        <is>
          <t>None</t>
        </is>
      </c>
      <c r="AE249" t="inlineStr">
        <is>
          <t>Card scan (GitHub: Cha0smagick/Virtual-Illuminati-New-World-order-INWO-game), read Sep 2026</t>
        </is>
      </c>
      <c r="AF249" t="inlineStr">
        <is>
          <t>N/A</t>
        </is>
      </c>
      <c r="AG249" t="inlineStr">
        <is>
          <t>N/A</t>
        </is>
      </c>
      <c r="AH249" t="inlineStr">
        <is>
          <t>N/A</t>
        </is>
      </c>
      <c r="AI249" t="inlineStr">
        <is>
          <t>N/A</t>
        </is>
      </c>
      <c r="AJ249" t="inlineStr">
        <is>
          <t>N/A</t>
        </is>
      </c>
      <c r="AK249" t="inlineStr">
        <is>
          <t>Official rules: non-Group card types do not use normal Group control-arrow geometry.</t>
        </is>
      </c>
    </row>
    <row r="250" ht="34" customHeight="1" s="16">
      <c r="A250" s="20" t="inlineStr">
        <is>
          <t>Epidemic</t>
        </is>
      </c>
      <c r="B250" s="20" t="inlineStr">
        <is>
          <t>Plot</t>
        </is>
      </c>
      <c r="C250" s="20" t="inlineStr">
        <is>
          <t>Disaster</t>
        </is>
      </c>
      <c r="D250" s="20" t="inlineStr">
        <is>
          <t>Common</t>
        </is>
      </c>
      <c r="E250" s="20" t="inlineStr">
        <is>
          <t>14</t>
        </is>
      </c>
      <c r="F250" s="20" t="str"/>
      <c r="G250" s="20" t="str"/>
      <c r="H250" s="20" t="str"/>
      <c r="I250" s="20" t="inlineStr">
        <is>
          <t>Disaster: an Attack to Destroy any Place with Power 14, needing no action. It is not Instant, so other groups may interfere normally. On success the target is Devastated; this attack can never actually destroy the target.</t>
        </is>
      </c>
      <c r="J250" s="20" t="inlineStr">
        <is>
          <t>Needs rules-engine encoding</t>
        </is>
      </c>
      <c r="K250" s="20" t="inlineStr">
        <is>
          <t>High</t>
        </is>
      </c>
      <c r="L250" s="20" t="str"/>
      <c r="M250" s="20" t="inlineStr">
        <is>
          <t>https://github.com/Cha0smagick/Virtual-Illuminati-New-World-order-INWO-game</t>
        </is>
      </c>
      <c r="N250" t="inlineStr">
        <is>
          <t>Play as an attack (no action required)</t>
        </is>
      </c>
      <c r="O250" t="inlineStr">
        <is>
          <t>Any Place</t>
        </is>
      </c>
      <c r="P250" t="inlineStr">
        <is>
          <t>None</t>
        </is>
      </c>
      <c r="Q250" t="inlineStr">
        <is>
          <t>Immediate</t>
        </is>
      </c>
      <c r="R250" t="inlineStr">
        <is>
          <t>Attack to Destroy (non-Instant); success = Devastated only; cannot destroy</t>
        </is>
      </c>
      <c r="S250" t="inlineStr">
        <is>
          <t>NO</t>
        </is>
      </c>
      <c r="T250" t="inlineStr">
        <is>
          <t>N/A</t>
        </is>
      </c>
      <c r="U250" t="inlineStr">
        <is>
          <t>N/A</t>
        </is>
      </c>
      <c r="V250" t="inlineStr">
        <is>
          <t>N/A — INWO uses Plots instead of group income/money</t>
        </is>
      </c>
      <c r="W250" t="inlineStr">
        <is>
          <t>N/A</t>
        </is>
      </c>
      <c r="X250" t="inlineStr">
        <is>
          <t>No card-specific limit (base duplicate rules apply)</t>
        </is>
      </c>
      <c r="Y250" t="inlineStr">
        <is>
          <t>None beyond base rules</t>
        </is>
      </c>
      <c r="Z250" t="inlineStr">
        <is>
          <t>Not Instant: normal interference allowed</t>
        </is>
      </c>
      <c r="AA250" t="inlineStr">
        <is>
          <t>Specific card overrides general rules</t>
        </is>
      </c>
      <c r="AB250" t="inlineStr">
        <is>
          <t>Full card scan read; behaviour paraphrased (no card text copied)</t>
        </is>
      </c>
      <c r="AC250" t="inlineStr">
        <is>
          <t>FUNCTIONALLY COMPLETE</t>
        </is>
      </c>
      <c r="AD250" t="inlineStr">
        <is>
          <t>None</t>
        </is>
      </c>
      <c r="AE250" t="inlineStr">
        <is>
          <t>Card scan (GitHub: Cha0smagick/Virtual-Illuminati-New-World-order-INWO-game), read Sep 2026</t>
        </is>
      </c>
      <c r="AF250" t="inlineStr">
        <is>
          <t>N/A</t>
        </is>
      </c>
      <c r="AG250" t="inlineStr">
        <is>
          <t>N/A</t>
        </is>
      </c>
      <c r="AH250" t="inlineStr">
        <is>
          <t>N/A</t>
        </is>
      </c>
      <c r="AI250" t="inlineStr">
        <is>
          <t>N/A</t>
        </is>
      </c>
      <c r="AJ250" t="inlineStr">
        <is>
          <t>N/A</t>
        </is>
      </c>
      <c r="AK250" t="inlineStr">
        <is>
          <t>Official rules: non-Group card types do not use normal Group control-arrow geometry.</t>
        </is>
      </c>
    </row>
    <row r="251" ht="34" customHeight="1" s="16">
      <c r="A251" s="20" t="inlineStr">
        <is>
          <t>Exposed!</t>
        </is>
      </c>
      <c r="B251" s="20" t="inlineStr">
        <is>
          <t>Plot</t>
        </is>
      </c>
      <c r="C251" s="20" t="inlineStr">
        <is>
          <t>Plot</t>
        </is>
      </c>
      <c r="D251" s="20" t="inlineStr">
        <is>
          <t>Common</t>
        </is>
      </c>
      <c r="E251" s="20" t="str"/>
      <c r="F251" s="20" t="str"/>
      <c r="G251" s="20" t="str"/>
      <c r="H251" s="20" t="str"/>
      <c r="I251" s="20" t="inlineStr">
        <is>
          <t>At any time, spend the action of a Media group of Power 4 or higher. Choose a Secret group: it loses the Secret attribute for good unless this card is countered right away.</t>
        </is>
      </c>
      <c r="J251" s="20" t="inlineStr">
        <is>
          <t>Needs rules-engine encoding</t>
        </is>
      </c>
      <c r="K251" s="20" t="inlineStr">
        <is>
          <t>High</t>
        </is>
      </c>
      <c r="L251" s="20" t="str"/>
      <c r="M251" s="20" t="inlineStr">
        <is>
          <t>https://github.com/Cha0smagick/Virtual-Illuminati-New-World-order-INWO-game</t>
        </is>
      </c>
      <c r="N251" t="inlineStr">
        <is>
          <t>Play at any time</t>
        </is>
      </c>
      <c r="O251" t="inlineStr">
        <is>
          <t>One Secret group</t>
        </is>
      </c>
      <c r="P251" t="inlineStr">
        <is>
          <t>Action of a Media group with Power 4+</t>
        </is>
      </c>
      <c r="Q251" t="inlineStr">
        <is>
          <t>Permanent</t>
        </is>
      </c>
      <c r="R251" t="inlineStr">
        <is>
          <t>Target permanently loses Secret</t>
        </is>
      </c>
      <c r="S251" t="inlineStr">
        <is>
          <t>NO</t>
        </is>
      </c>
      <c r="T251" t="inlineStr">
        <is>
          <t>N/A</t>
        </is>
      </c>
      <c r="U251" t="inlineStr">
        <is>
          <t>N/A</t>
        </is>
      </c>
      <c r="V251" t="inlineStr">
        <is>
          <t>N/A — INWO uses Plots instead of group income/money</t>
        </is>
      </c>
      <c r="W251" t="inlineStr">
        <is>
          <t>N/A</t>
        </is>
      </c>
      <c r="X251" t="inlineStr">
        <is>
          <t>No card-specific limit (base duplicate rules apply)</t>
        </is>
      </c>
      <c r="Y251" t="inlineStr">
        <is>
          <t>A Media group with Power &gt;= 4 has an action available</t>
        </is>
      </c>
      <c r="Z251" t="inlineStr">
        <is>
          <t>Can be countered only if countered immediately (e.g. Cover-Up)</t>
        </is>
      </c>
      <c r="AA251" t="inlineStr">
        <is>
          <t>Specific card overrides general rules</t>
        </is>
      </c>
      <c r="AB251" t="inlineStr">
        <is>
          <t>Full card scan read; behaviour paraphrased (no card text copied)</t>
        </is>
      </c>
      <c r="AC251" t="inlineStr">
        <is>
          <t>FUNCTIONALLY COMPLETE</t>
        </is>
      </c>
      <c r="AD251" t="inlineStr">
        <is>
          <t>None</t>
        </is>
      </c>
      <c r="AE251" t="inlineStr">
        <is>
          <t>Card scan (GitHub: Cha0smagick/Virtual-Illuminati-New-World-order-INWO-game), read Sep 2026</t>
        </is>
      </c>
      <c r="AF251" t="inlineStr">
        <is>
          <t>N/A</t>
        </is>
      </c>
      <c r="AG251" t="inlineStr">
        <is>
          <t>N/A</t>
        </is>
      </c>
      <c r="AH251" t="inlineStr">
        <is>
          <t>N/A</t>
        </is>
      </c>
      <c r="AI251" t="inlineStr">
        <is>
          <t>N/A</t>
        </is>
      </c>
      <c r="AJ251" t="inlineStr">
        <is>
          <t>N/A</t>
        </is>
      </c>
      <c r="AK251" t="inlineStr">
        <is>
          <t>Official rules: non-Group card types do not use normal Group control-arrow geometry.</t>
        </is>
      </c>
    </row>
    <row r="252" ht="34" customHeight="1" s="16">
      <c r="A252" s="20" t="inlineStr">
        <is>
          <t>Faction Fight</t>
        </is>
      </c>
      <c r="B252" s="20" t="inlineStr">
        <is>
          <t>Plot</t>
        </is>
      </c>
      <c r="C252" s="20" t="inlineStr">
        <is>
          <t>Plot</t>
        </is>
      </c>
      <c r="D252" s="20" t="inlineStr">
        <is>
          <t>Rare</t>
        </is>
      </c>
      <c r="E252" s="20" t="str"/>
      <c r="F252" s="20" t="str"/>
      <c r="G252" s="20" t="str"/>
      <c r="H252" s="20" t="str"/>
      <c r="I252" s="20" t="inlineStr">
        <is>
          <t>Play along with a duplicate of a Group a rival controls, as you attack that Group. The attack gains +5 and is Privileged. Playing this card costs no action, though the attack does.</t>
        </is>
      </c>
      <c r="J252" s="20" t="inlineStr">
        <is>
          <t>Needs rules-engine encoding</t>
        </is>
      </c>
      <c r="K252" s="20" t="inlineStr">
        <is>
          <t>High</t>
        </is>
      </c>
      <c r="L252" s="20" t="inlineStr">
        <is>
          <t>'Extra' implies stacking with the base duplicate-card attack bonus.</t>
        </is>
      </c>
      <c r="M252" s="20" t="inlineStr">
        <is>
          <t>https://github.com/Cha0smagick/Virtual-Illuminati-New-World-order-INWO-game</t>
        </is>
      </c>
      <c r="N252" t="inlineStr">
        <is>
          <t>When making an attack using a duplicate of a rival's Group card</t>
        </is>
      </c>
      <c r="O252" t="inlineStr">
        <is>
          <t>A Group controlled by a rival for which you hold a duplicate card</t>
        </is>
      </c>
      <c r="P252" t="inlineStr">
        <is>
          <t>None for the card; the attack uses an action normally</t>
        </is>
      </c>
      <c r="Q252" t="inlineStr">
        <is>
          <t>That attack</t>
        </is>
      </c>
      <c r="R252" t="inlineStr">
        <is>
          <t>Extra +5 to attack (on top of the duplicate bonus); attack becomes Privileged</t>
        </is>
      </c>
      <c r="S252" t="inlineStr">
        <is>
          <t>NO</t>
        </is>
      </c>
      <c r="T252" t="inlineStr">
        <is>
          <t>N/A</t>
        </is>
      </c>
      <c r="U252" t="inlineStr">
        <is>
          <t>N/A</t>
        </is>
      </c>
      <c r="V252" t="inlineStr">
        <is>
          <t>N/A — INWO uses Plots instead of group income/money</t>
        </is>
      </c>
      <c r="W252" t="inlineStr">
        <is>
          <t>N/A</t>
        </is>
      </c>
      <c r="X252" t="inlineStr">
        <is>
          <t>No card-specific limit (base duplicate rules apply)</t>
        </is>
      </c>
      <c r="Y252" t="inlineStr">
        <is>
          <t>You hold and play a duplicate card of the rival's Group</t>
        </is>
      </c>
      <c r="Z252" t="inlineStr">
        <is>
          <t>Standard response window</t>
        </is>
      </c>
      <c r="AA252" t="inlineStr">
        <is>
          <t>Specific card overrides general rules</t>
        </is>
      </c>
      <c r="AB252" t="inlineStr">
        <is>
          <t>Full card scan read; behaviour paraphrased (no card text copied)</t>
        </is>
      </c>
      <c r="AC252" t="inlineStr">
        <is>
          <t>FUNCTIONALLY COMPLETE</t>
        </is>
      </c>
      <c r="AD252" t="inlineStr">
        <is>
          <t>None</t>
        </is>
      </c>
      <c r="AE252" t="inlineStr">
        <is>
          <t>Card scan (GitHub: Cha0smagick/Virtual-Illuminati-New-World-order-INWO-game), read Sep 2026</t>
        </is>
      </c>
      <c r="AF252" t="inlineStr">
        <is>
          <t>N/A</t>
        </is>
      </c>
      <c r="AG252" t="inlineStr">
        <is>
          <t>N/A</t>
        </is>
      </c>
      <c r="AH252" t="inlineStr">
        <is>
          <t>N/A</t>
        </is>
      </c>
      <c r="AI252" t="inlineStr">
        <is>
          <t>N/A</t>
        </is>
      </c>
      <c r="AJ252" t="inlineStr">
        <is>
          <t>N/A</t>
        </is>
      </c>
      <c r="AK252" t="inlineStr">
        <is>
          <t>Official rules: non-Group card types do not use normal Group control-arrow geometry.</t>
        </is>
      </c>
    </row>
    <row r="253" ht="34" customHeight="1" s="16">
      <c r="A253" s="20" t="inlineStr">
        <is>
          <t>Flower Power</t>
        </is>
      </c>
      <c r="B253" s="20" t="inlineStr">
        <is>
          <t>Plot</t>
        </is>
      </c>
      <c r="C253" s="20" t="inlineStr">
        <is>
          <t>Plot</t>
        </is>
      </c>
      <c r="D253" s="20" t="inlineStr">
        <is>
          <t>Uncommon</t>
        </is>
      </c>
      <c r="E253" s="20" t="str"/>
      <c r="F253" s="20" t="str"/>
      <c r="G253" s="20" t="str"/>
      <c r="H253" s="20" t="str"/>
      <c r="I253" s="20" t="inlineStr">
        <is>
          <t>Play at any time by spending your Illuminati's action. Give an Action token to Peaceful groups of yours that have none: several whose Power adds up to 5 or less, or any single one. Groups captured this turn, or barred from receiving Action tokens by a card or special ability, cannot be chosen. (Official correction applied.)</t>
        </is>
      </c>
      <c r="J253" s="20" t="inlineStr">
        <is>
          <t>Needs rules-engine encoding</t>
        </is>
      </c>
      <c r="K253" s="20" t="inlineStr">
        <is>
          <t>High</t>
        </is>
      </c>
      <c r="L253" s="20" t="str"/>
      <c r="M253" s="20" t="inlineStr">
        <is>
          <t>https://github.com/Cha0smagick/Virtual-Illuminati-New-World-order-INWO-game</t>
        </is>
      </c>
      <c r="N253" t="inlineStr">
        <is>
          <t>Play at any time</t>
        </is>
      </c>
      <c r="O253" t="inlineStr">
        <is>
          <t>Your Peaceful groups without an Action token, not captured this turn: up to 5 total Power, or any one group</t>
        </is>
      </c>
      <c r="P253" t="inlineStr">
        <is>
          <t>1 Illuminati action (errata)</t>
        </is>
      </c>
      <c r="Q253" t="inlineStr">
        <is>
          <t>Immediate</t>
        </is>
      </c>
      <c r="R253" t="inlineStr">
        <is>
          <t>Chosen Peaceful groups of yours with no Action token gain one (5 total Power at most, or a single group of any Power)</t>
        </is>
      </c>
      <c r="S253" t="inlineStr">
        <is>
          <t>NO</t>
        </is>
      </c>
      <c r="T253" t="inlineStr">
        <is>
          <t>N/A</t>
        </is>
      </c>
      <c r="U253" t="inlineStr">
        <is>
          <t>N/A</t>
        </is>
      </c>
      <c r="V253" t="inlineStr">
        <is>
          <t>N/A — INWO uses Plots instead of group income/money</t>
        </is>
      </c>
      <c r="W253" t="inlineStr">
        <is>
          <t>N/A</t>
        </is>
      </c>
      <c r="X253" t="inlineStr">
        <is>
          <t>No card-specific limit (base duplicate rules apply)</t>
        </is>
      </c>
      <c r="Y253" t="inlineStr">
        <is>
          <t>None beyond base rules</t>
        </is>
      </c>
      <c r="Z253" t="inlineStr">
        <is>
          <t>Standard response window</t>
        </is>
      </c>
      <c r="AA253" t="inlineStr">
        <is>
          <t>Specific card overrides general rules</t>
        </is>
      </c>
      <c r="AB253" t="inlineStr">
        <is>
          <t>Full card scan read; behaviour paraphrased (no card text copied)</t>
        </is>
      </c>
      <c r="AC253" t="inlineStr">
        <is>
          <t>FUNCTIONALLY COMPLETE</t>
        </is>
      </c>
      <c r="AD253" t="inlineStr">
        <is>
          <t>None</t>
        </is>
      </c>
      <c r="AE253" t="inlineStr">
        <is>
          <t>Card scan (GitHub: Cha0smagick/Virtual-Illuminati-New-World-order-INWO-game), read Sep 2026</t>
        </is>
      </c>
      <c r="AF253" t="inlineStr">
        <is>
          <t>N/A</t>
        </is>
      </c>
      <c r="AG253" t="inlineStr">
        <is>
          <t>N/A</t>
        </is>
      </c>
      <c r="AH253" t="inlineStr">
        <is>
          <t>N/A</t>
        </is>
      </c>
      <c r="AI253" t="inlineStr">
        <is>
          <t>N/A</t>
        </is>
      </c>
      <c r="AJ253" t="inlineStr">
        <is>
          <t>N/A</t>
        </is>
      </c>
      <c r="AK253" t="inlineStr">
        <is>
          <t>Official rules: non-Group card types do not use normal Group control-arrow geometry.</t>
        </is>
      </c>
    </row>
    <row r="254" ht="34" customHeight="1" s="16">
      <c r="A254" s="20" t="inlineStr">
        <is>
          <t>Fnord!</t>
        </is>
      </c>
      <c r="B254" s="20" t="inlineStr">
        <is>
          <t>Plot</t>
        </is>
      </c>
      <c r="C254" s="20" t="inlineStr">
        <is>
          <t>Plot</t>
        </is>
      </c>
      <c r="D254" s="20" t="inlineStr">
        <is>
          <t>Common</t>
        </is>
      </c>
      <c r="E254" s="20" t="str"/>
      <c r="F254" s="20" t="str"/>
      <c r="G254" s="20" t="str"/>
      <c r="H254" s="20" t="str"/>
      <c r="I254" s="20" t="inlineStr">
        <is>
          <t>Play right after you roll the dice: ignore that result and roll again. No action needed, but you must discard the top card of your Group deck or two Group cards of your choice from your hand.</t>
        </is>
      </c>
      <c r="J254" s="20" t="inlineStr">
        <is>
          <t>Needs rules-engine encoding</t>
        </is>
      </c>
      <c r="K254" s="20" t="inlineStr">
        <is>
          <t>High</t>
        </is>
      </c>
      <c r="L254" s="20" t="inlineStr">
        <is>
          <t>Only your own rolls. 'Top Group card' interpreted as top of your Group deck.</t>
        </is>
      </c>
      <c r="M254" s="20" t="inlineStr">
        <is>
          <t>https://github.com/Cha0smagick/Virtual-Illuminati-New-World-order-INWO-game</t>
        </is>
      </c>
      <c r="N254" t="inlineStr">
        <is>
          <t>Immediately after one of your own die rolls</t>
        </is>
      </c>
      <c r="O254" t="inlineStr">
        <is>
          <t>A die roll you just made</t>
        </is>
      </c>
      <c r="P254" t="inlineStr">
        <is>
          <t>Discard top Group card of your deck, or 2 Group cards from hand (not an action)</t>
        </is>
      </c>
      <c r="Q254" t="inlineStr">
        <is>
          <t>Immediate</t>
        </is>
      </c>
      <c r="R254" t="inlineStr">
        <is>
          <t>Reroll your die roll</t>
        </is>
      </c>
      <c r="S254" t="inlineStr">
        <is>
          <t>NO</t>
        </is>
      </c>
      <c r="T254" t="inlineStr">
        <is>
          <t>N/A</t>
        </is>
      </c>
      <c r="U254" t="inlineStr">
        <is>
          <t>N/A</t>
        </is>
      </c>
      <c r="V254" t="inlineStr">
        <is>
          <t>N/A — INWO uses Plots instead of group income/money</t>
        </is>
      </c>
      <c r="W254" t="inlineStr">
        <is>
          <t>N/A</t>
        </is>
      </c>
      <c r="X254" t="inlineStr">
        <is>
          <t>No card-specific limit (base duplicate rules apply)</t>
        </is>
      </c>
      <c r="Y254" t="inlineStr">
        <is>
          <t>You just rolled; you can pay the Group discard</t>
        </is>
      </c>
      <c r="Z254" t="inlineStr">
        <is>
          <t>Must be played immediately after the roll</t>
        </is>
      </c>
      <c r="AA254" t="inlineStr">
        <is>
          <t>Specific card overrides general rules</t>
        </is>
      </c>
      <c r="AB254" t="inlineStr">
        <is>
          <t>Full card scan read; behaviour paraphrased (no card text copied)</t>
        </is>
      </c>
      <c r="AC254" t="inlineStr">
        <is>
          <t>FUNCTIONALLY COMPLETE</t>
        </is>
      </c>
      <c r="AD254" t="inlineStr">
        <is>
          <t>None</t>
        </is>
      </c>
      <c r="AE254" t="inlineStr">
        <is>
          <t>Card scan (GitHub: Cha0smagick/Virtual-Illuminati-New-World-order-INWO-game), read Sep 2026</t>
        </is>
      </c>
      <c r="AF254" t="inlineStr">
        <is>
          <t>N/A</t>
        </is>
      </c>
      <c r="AG254" t="inlineStr">
        <is>
          <t>N/A</t>
        </is>
      </c>
      <c r="AH254" t="inlineStr">
        <is>
          <t>N/A</t>
        </is>
      </c>
      <c r="AI254" t="inlineStr">
        <is>
          <t>N/A</t>
        </is>
      </c>
      <c r="AJ254" t="inlineStr">
        <is>
          <t>N/A</t>
        </is>
      </c>
      <c r="AK254" t="inlineStr">
        <is>
          <t>Official rules: non-Group card types do not use normal Group control-arrow geometry.</t>
        </is>
      </c>
    </row>
    <row r="255" ht="34" customHeight="1" s="16">
      <c r="A255" s="20" t="inlineStr">
        <is>
          <t>Foiled!</t>
        </is>
      </c>
      <c r="B255" s="20" t="inlineStr">
        <is>
          <t>Plot</t>
        </is>
      </c>
      <c r="C255" s="20" t="inlineStr">
        <is>
          <t>Plot</t>
        </is>
      </c>
      <c r="D255" s="20" t="inlineStr">
        <is>
          <t>Uncommon</t>
        </is>
      </c>
      <c r="E255" s="20" t="str"/>
      <c r="F255" s="20" t="str"/>
      <c r="G255" s="20" t="str"/>
      <c r="H255" s="20" t="str"/>
      <c r="I255" s="20" t="inlineStr">
        <is>
          <t>Play at any time using a Media group's action to make any rival discard one of their exposed Goal cards.</t>
        </is>
      </c>
      <c r="J255" s="20" t="inlineStr">
        <is>
          <t>Needs rules-engine encoding</t>
        </is>
      </c>
      <c r="K255" s="20" t="inlineStr">
        <is>
          <t>High</t>
        </is>
      </c>
      <c r="L255" s="20" t="str"/>
      <c r="M255" s="20" t="inlineStr">
        <is>
          <t>https://github.com/Cha0smagick/Virtual-Illuminati-New-World-order-INWO-game</t>
        </is>
      </c>
      <c r="N255" t="inlineStr">
        <is>
          <t>Play at any time</t>
        </is>
      </c>
      <c r="O255" t="inlineStr">
        <is>
          <t>One exposed Goal card of a rival</t>
        </is>
      </c>
      <c r="P255" t="inlineStr">
        <is>
          <t>Action of a Media group</t>
        </is>
      </c>
      <c r="Q255" t="inlineStr">
        <is>
          <t>Immediate</t>
        </is>
      </c>
      <c r="R255" t="inlineStr">
        <is>
          <t>Rival discards 1 exposed Goal</t>
        </is>
      </c>
      <c r="S255" t="inlineStr">
        <is>
          <t>NO</t>
        </is>
      </c>
      <c r="T255" t="inlineStr">
        <is>
          <t>N/A</t>
        </is>
      </c>
      <c r="U255" t="inlineStr">
        <is>
          <t>N/A</t>
        </is>
      </c>
      <c r="V255" t="inlineStr">
        <is>
          <t>N/A — INWO uses Plots instead of group income/money</t>
        </is>
      </c>
      <c r="W255" t="inlineStr">
        <is>
          <t>N/A</t>
        </is>
      </c>
      <c r="X255" t="inlineStr">
        <is>
          <t>No card-specific limit (base duplicate rules apply)</t>
        </is>
      </c>
      <c r="Y255" t="inlineStr">
        <is>
          <t>A rival has an exposed Goal; you have a Media group action available</t>
        </is>
      </c>
      <c r="Z255" t="inlineStr">
        <is>
          <t>Standard response window</t>
        </is>
      </c>
      <c r="AA255" t="inlineStr">
        <is>
          <t>Specific card overrides general rules</t>
        </is>
      </c>
      <c r="AB255" t="inlineStr">
        <is>
          <t>Full card scan read; behaviour paraphrased (no card text copied)</t>
        </is>
      </c>
      <c r="AC255" t="inlineStr">
        <is>
          <t>FUNCTIONALLY COMPLETE</t>
        </is>
      </c>
      <c r="AD255" t="inlineStr">
        <is>
          <t>None</t>
        </is>
      </c>
      <c r="AE255" t="inlineStr">
        <is>
          <t>Card scan (GitHub: Cha0smagick/Virtual-Illuminati-New-World-order-INWO-game), read Sep 2026</t>
        </is>
      </c>
      <c r="AF255" t="inlineStr">
        <is>
          <t>N/A</t>
        </is>
      </c>
      <c r="AG255" t="inlineStr">
        <is>
          <t>N/A</t>
        </is>
      </c>
      <c r="AH255" t="inlineStr">
        <is>
          <t>N/A</t>
        </is>
      </c>
      <c r="AI255" t="inlineStr">
        <is>
          <t>N/A</t>
        </is>
      </c>
      <c r="AJ255" t="inlineStr">
        <is>
          <t>N/A</t>
        </is>
      </c>
      <c r="AK255" t="inlineStr">
        <is>
          <t>Official rules: non-Group card types do not use normal Group control-arrow geometry.</t>
        </is>
      </c>
    </row>
    <row r="256" ht="34" customHeight="1" s="16">
      <c r="A256" s="20" t="inlineStr">
        <is>
          <t>Forgery</t>
        </is>
      </c>
      <c r="B256" s="20" t="inlineStr">
        <is>
          <t>Plot</t>
        </is>
      </c>
      <c r="C256" s="20" t="inlineStr">
        <is>
          <t>Plot</t>
        </is>
      </c>
      <c r="D256" s="20" t="inlineStr">
        <is>
          <t>Uncommon</t>
        </is>
      </c>
      <c r="E256" s="20" t="str"/>
      <c r="F256" s="20" t="str"/>
      <c r="G256" s="20" t="str"/>
      <c r="H256" s="20" t="str"/>
      <c r="I256" s="20" t="inlineStr">
        <is>
          <t>Lets you bring a Resource from your hand into play by automatic takeover even though it duplicates a Unique Resource already in play. Yours counts as the genuine one; the other copy's owner must discard theirs.</t>
        </is>
      </c>
      <c r="J256" s="20" t="inlineStr">
        <is>
          <t>Needs rules-engine encoding</t>
        </is>
      </c>
      <c r="K256" s="20" t="inlineStr">
        <is>
          <t>High</t>
        </is>
      </c>
      <c r="L256" s="20" t="inlineStr">
        <is>
          <t>Card doesn't state action or timing; assume normal Resource-play timing.</t>
        </is>
      </c>
      <c r="M256" s="20" t="inlineStr">
        <is>
          <t>https://github.com/Cha0smagick/Virtual-Illuminati-New-World-order-INWO-game</t>
        </is>
      </c>
      <c r="N256" t="inlineStr">
        <is>
          <t>When taking over/playing a Resource from your hand</t>
        </is>
      </c>
      <c r="O256" t="inlineStr">
        <is>
          <t>A Unique Resource on the table that you hold a duplicate of</t>
        </is>
      </c>
      <c r="P256" t="inlineStr">
        <is>
          <t>None stated</t>
        </is>
      </c>
      <c r="Q256" t="inlineStr">
        <is>
          <t>Immediate (your Resource stays permanently)</t>
        </is>
      </c>
      <c r="R256" t="inlineStr">
        <is>
          <t>Automatic takeover of duplicate Unique Resource from hand; other copy discarded</t>
        </is>
      </c>
      <c r="S256" t="inlineStr">
        <is>
          <t>NO</t>
        </is>
      </c>
      <c r="T256" t="inlineStr">
        <is>
          <t>N/A</t>
        </is>
      </c>
      <c r="U256" t="inlineStr">
        <is>
          <t>N/A</t>
        </is>
      </c>
      <c r="V256" t="inlineStr">
        <is>
          <t>N/A — INWO uses Plots instead of group income/money</t>
        </is>
      </c>
      <c r="W256" t="inlineStr">
        <is>
          <t>N/A</t>
        </is>
      </c>
      <c r="X256" t="inlineStr">
        <is>
          <t>No card-specific limit (base duplicate rules apply)</t>
        </is>
      </c>
      <c r="Y256" t="inlineStr">
        <is>
          <t>You hold a copy of a Unique Resource that is already in play</t>
        </is>
      </c>
      <c r="Z256" t="inlineStr">
        <is>
          <t>Standard response window</t>
        </is>
      </c>
      <c r="AA256" t="inlineStr">
        <is>
          <t>Specific card overrides general rules</t>
        </is>
      </c>
      <c r="AB256" t="inlineStr">
        <is>
          <t>Full card scan read; behaviour paraphrased (no card text copied)</t>
        </is>
      </c>
      <c r="AC256" t="inlineStr">
        <is>
          <t>FUNCTIONALLY COMPLETE</t>
        </is>
      </c>
      <c r="AD256" t="inlineStr">
        <is>
          <t>None</t>
        </is>
      </c>
      <c r="AE256" t="inlineStr">
        <is>
          <t>Card scan (GitHub: Cha0smagick/Virtual-Illuminati-New-World-order-INWO-game), read Sep 2026</t>
        </is>
      </c>
      <c r="AF256" t="inlineStr">
        <is>
          <t>N/A</t>
        </is>
      </c>
      <c r="AG256" t="inlineStr">
        <is>
          <t>N/A</t>
        </is>
      </c>
      <c r="AH256" t="inlineStr">
        <is>
          <t>N/A</t>
        </is>
      </c>
      <c r="AI256" t="inlineStr">
        <is>
          <t>N/A</t>
        </is>
      </c>
      <c r="AJ256" t="inlineStr">
        <is>
          <t>N/A</t>
        </is>
      </c>
      <c r="AK256" t="inlineStr">
        <is>
          <t>Official rules: non-Group card types do not use normal Group control-arrow geometry.</t>
        </is>
      </c>
    </row>
    <row r="257" ht="34" customHeight="1" s="16">
      <c r="A257" s="20" t="inlineStr">
        <is>
          <t>Freaking the Mundanes</t>
        </is>
      </c>
      <c r="B257" s="20" t="inlineStr">
        <is>
          <t>Plot</t>
        </is>
      </c>
      <c r="C257" s="20" t="inlineStr">
        <is>
          <t>Plot</t>
        </is>
      </c>
      <c r="D257" s="20" t="inlineStr">
        <is>
          <t>Uncommon</t>
        </is>
      </c>
      <c r="E257" s="20" t="str"/>
      <c r="F257" s="20" t="str"/>
      <c r="G257" s="20" t="str"/>
      <c r="H257" s="20" t="str"/>
      <c r="I257" s="20" t="inlineStr">
        <is>
          <t>Play at any time by spending your Illuminati's action. Give an Action token to Weird groups of yours that have none: several whose Power adds up to 5 or less, or any single one. Groups captured this turn, or barred from receiving Action tokens by a card or special ability, cannot be chosen. (Official correction applied.)</t>
        </is>
      </c>
      <c r="J257" s="20" t="inlineStr">
        <is>
          <t>Needs rules-engine encoding</t>
        </is>
      </c>
      <c r="K257" s="20" t="inlineStr">
        <is>
          <t>High</t>
        </is>
      </c>
      <c r="L257" s="20" t="str"/>
      <c r="M257" s="20" t="inlineStr">
        <is>
          <t>https://github.com/Cha0smagick/Virtual-Illuminati-New-World-order-INWO-game</t>
        </is>
      </c>
      <c r="N257" t="inlineStr">
        <is>
          <t>Play at any time</t>
        </is>
      </c>
      <c r="O257" t="inlineStr">
        <is>
          <t>Your Weird groups without an Action token, not captured this turn: up to 5 total Power, or any one group</t>
        </is>
      </c>
      <c r="P257" t="inlineStr">
        <is>
          <t>1 Illuminati action (errata)</t>
        </is>
      </c>
      <c r="Q257" t="inlineStr">
        <is>
          <t>Immediate</t>
        </is>
      </c>
      <c r="R257" t="inlineStr">
        <is>
          <t>Chosen Weird groups of yours with no Action token gain one (5 total Power at most, or a single group of any Power)</t>
        </is>
      </c>
      <c r="S257" t="inlineStr">
        <is>
          <t>NO</t>
        </is>
      </c>
      <c r="T257" t="inlineStr">
        <is>
          <t>N/A</t>
        </is>
      </c>
      <c r="U257" t="inlineStr">
        <is>
          <t>N/A</t>
        </is>
      </c>
      <c r="V257" t="inlineStr">
        <is>
          <t>N/A — INWO uses Plots instead of group income/money</t>
        </is>
      </c>
      <c r="W257" t="inlineStr">
        <is>
          <t>N/A</t>
        </is>
      </c>
      <c r="X257" t="inlineStr">
        <is>
          <t>No card-specific limit (base duplicate rules apply)</t>
        </is>
      </c>
      <c r="Y257" t="inlineStr">
        <is>
          <t>None beyond base rules</t>
        </is>
      </c>
      <c r="Z257" t="inlineStr">
        <is>
          <t>Standard response window</t>
        </is>
      </c>
      <c r="AA257" t="inlineStr">
        <is>
          <t>Specific card overrides general rules</t>
        </is>
      </c>
      <c r="AB257" t="inlineStr">
        <is>
          <t>Full card scan read; behaviour paraphrased (no card text copied)</t>
        </is>
      </c>
      <c r="AC257" t="inlineStr">
        <is>
          <t>FUNCTIONALLY COMPLETE</t>
        </is>
      </c>
      <c r="AD257" t="inlineStr">
        <is>
          <t>None</t>
        </is>
      </c>
      <c r="AE257" t="inlineStr">
        <is>
          <t>Card scan (GitHub: Cha0smagick/Virtual-Illuminati-New-World-order-INWO-game), read Sep 2026</t>
        </is>
      </c>
      <c r="AF257" t="inlineStr">
        <is>
          <t>N/A</t>
        </is>
      </c>
      <c r="AG257" t="inlineStr">
        <is>
          <t>N/A</t>
        </is>
      </c>
      <c r="AH257" t="inlineStr">
        <is>
          <t>N/A</t>
        </is>
      </c>
      <c r="AI257" t="inlineStr">
        <is>
          <t>N/A</t>
        </is>
      </c>
      <c r="AJ257" t="inlineStr">
        <is>
          <t>N/A</t>
        </is>
      </c>
      <c r="AK257" t="inlineStr">
        <is>
          <t>Official rules: non-Group card types do not use normal Group control-arrow geometry.</t>
        </is>
      </c>
    </row>
    <row r="258" ht="34" customHeight="1" s="16">
      <c r="A258" s="20" t="inlineStr">
        <is>
          <t>Full Moon</t>
        </is>
      </c>
      <c r="B258" s="20" t="inlineStr">
        <is>
          <t>Plot</t>
        </is>
      </c>
      <c r="C258" s="20" t="inlineStr">
        <is>
          <t>Plot</t>
        </is>
      </c>
      <c r="D258" s="20" t="inlineStr">
        <is>
          <t>Uncommon</t>
        </is>
      </c>
      <c r="E258" s="20" t="str"/>
      <c r="F258" s="20" t="str"/>
      <c r="G258" s="20" t="str"/>
      <c r="H258" s="20" t="str"/>
      <c r="I258" s="20" t="inlineStr">
        <is>
          <t>Play at any time. Every Fanatic group you control gets an Action token whether or not it already has one, and you may also give one to any other Fanatic groups in play that you choose. Groups barred from receiving Action tokens by a card or special ability do not benefit.</t>
        </is>
      </c>
      <c r="J258" s="20" t="inlineStr">
        <is>
          <t>Needs rules-engine encoding</t>
        </is>
      </c>
      <c r="K258" s="20" t="inlineStr">
        <is>
          <t>High</t>
        </is>
      </c>
      <c r="L258" s="20" t="inlineStr">
        <is>
          <t>Unlike its sibling cards, this one is not limited to groups without a token. A group can normally hold only one Action token, so for one that already has one this is probably no gain (inferred).</t>
        </is>
      </c>
      <c r="M258" s="20" t="inlineStr">
        <is>
          <t>https://github.com/Cha0smagick/Virtual-Illuminati-New-World-order-INWO-game</t>
        </is>
      </c>
      <c r="N258" t="inlineStr">
        <is>
          <t>Play at any time</t>
        </is>
      </c>
      <c r="O258" t="inlineStr">
        <is>
          <t>All your Fanatic groups, plus any other players' Fanatic groups you choose</t>
        </is>
      </c>
      <c r="P258" t="inlineStr">
        <is>
          <t>None</t>
        </is>
      </c>
      <c r="Q258" t="inlineStr">
        <is>
          <t>Immediate</t>
        </is>
      </c>
      <c r="R258" t="inlineStr">
        <is>
          <t>Give an Action token to each of your Fanatic groups (even if already holding one) and to chosen other Fanatic groups</t>
        </is>
      </c>
      <c r="S258" t="inlineStr">
        <is>
          <t>NO</t>
        </is>
      </c>
      <c r="T258" t="inlineStr">
        <is>
          <t>N/A</t>
        </is>
      </c>
      <c r="U258" t="inlineStr">
        <is>
          <t>N/A</t>
        </is>
      </c>
      <c r="V258" t="inlineStr">
        <is>
          <t>N/A — INWO uses Plots instead of group income/money</t>
        </is>
      </c>
      <c r="W258" t="inlineStr">
        <is>
          <t>N/A</t>
        </is>
      </c>
      <c r="X258" t="inlineStr">
        <is>
          <t>No card-specific limit (base duplicate rules apply)</t>
        </is>
      </c>
      <c r="Y258" t="inlineStr">
        <is>
          <t>None beyond base rules</t>
        </is>
      </c>
      <c r="Z258" t="inlineStr">
        <is>
          <t>Standard response window</t>
        </is>
      </c>
      <c r="AA258" t="inlineStr">
        <is>
          <t>Specific card overrides general rules</t>
        </is>
      </c>
      <c r="AB258" t="inlineStr">
        <is>
          <t>Full card scan read; behaviour paraphrased (no card text copied)</t>
        </is>
      </c>
      <c r="AC258" t="inlineStr">
        <is>
          <t>FUNCTIONALLY COMPLETE</t>
        </is>
      </c>
      <c r="AD258" t="inlineStr">
        <is>
          <t>None</t>
        </is>
      </c>
      <c r="AE258" t="inlineStr">
        <is>
          <t>Card scan (GitHub: Cha0smagick/Virtual-Illuminati-New-World-order-INWO-game), read Sep 2026</t>
        </is>
      </c>
      <c r="AF258" t="inlineStr">
        <is>
          <t>N/A</t>
        </is>
      </c>
      <c r="AG258" t="inlineStr">
        <is>
          <t>N/A</t>
        </is>
      </c>
      <c r="AH258" t="inlineStr">
        <is>
          <t>N/A</t>
        </is>
      </c>
      <c r="AI258" t="inlineStr">
        <is>
          <t>N/A</t>
        </is>
      </c>
      <c r="AJ258" t="inlineStr">
        <is>
          <t>N/A</t>
        </is>
      </c>
      <c r="AK258" t="inlineStr">
        <is>
          <t>Official rules: non-Group card types do not use normal Group control-arrow geometry.</t>
        </is>
      </c>
    </row>
    <row r="259" ht="34" customHeight="1" s="16">
      <c r="A259" s="20" t="inlineStr">
        <is>
          <t>Fundie Money</t>
        </is>
      </c>
      <c r="B259" s="20" t="inlineStr">
        <is>
          <t>Plot</t>
        </is>
      </c>
      <c r="C259" s="20" t="inlineStr">
        <is>
          <t>Plot</t>
        </is>
      </c>
      <c r="D259" s="20" t="inlineStr">
        <is>
          <t>Common</t>
        </is>
      </c>
      <c r="E259" s="20" t="str"/>
      <c r="F259" s="20" t="str"/>
      <c r="G259" s="20" t="str"/>
      <c r="H259" s="20" t="str"/>
      <c r="I259" s="20" t="inlineStr">
        <is>
          <t>Play at any time on a target group. It needs actions from your Illuminati, or from Conservative group(s) whose combined Power at least equals the target's Resistance. That requirement is doubled if the target is currently Liberal, and if a rival controls the target, add its usual closeness-to-Illuminati bonuses. The target permanently becomes Conservative and loses Liberal if it had it; the card stays linked to the target.</t>
        </is>
      </c>
      <c r="J259" s="20" t="inlineStr">
        <is>
          <t>Needs rules-engine encoding</t>
        </is>
      </c>
      <c r="K259" s="20" t="inlineStr">
        <is>
          <t>High</t>
        </is>
      </c>
      <c r="L259" s="20" t="inlineStr">
        <is>
          <t>Unclear whether the Illuminati action also has to meet the Power threshold. The text reads as though Illuminati action alone qualifies (either/or).</t>
        </is>
      </c>
      <c r="M259" s="20" t="inlineStr">
        <is>
          <t>https://github.com/Cha0smagick/Virtual-Illuminati-New-World-order-INWO-game</t>
        </is>
      </c>
      <c r="N259" t="inlineStr">
        <is>
          <t>Play at any time</t>
        </is>
      </c>
      <c r="O259" t="inlineStr">
        <is>
          <t>Any group (yours or a rival's)</t>
        </is>
      </c>
      <c r="P259" t="inlineStr">
        <is>
          <t>Illuminati action, or actions of Conservative group(s) with total Power &gt;= target Resistance (x2 if Liberal; + proximity bonuses if rival-owned)</t>
        </is>
      </c>
      <c r="Q259" t="inlineStr">
        <is>
          <t>Permanent (card stays linked)</t>
        </is>
      </c>
      <c r="R259" t="inlineStr">
        <is>
          <t>Target gains Conservative; removes Liberal</t>
        </is>
      </c>
      <c r="S259" t="inlineStr">
        <is>
          <t>NO</t>
        </is>
      </c>
      <c r="T259" t="inlineStr">
        <is>
          <t>N/A</t>
        </is>
      </c>
      <c r="U259" t="inlineStr">
        <is>
          <t>N/A</t>
        </is>
      </c>
      <c r="V259" t="inlineStr">
        <is>
          <t>N/A — INWO uses Plots instead of group income/money</t>
        </is>
      </c>
      <c r="W259" t="inlineStr">
        <is>
          <t>N/A</t>
        </is>
      </c>
      <c r="X259" t="inlineStr">
        <is>
          <t>No card-specific limit (base duplicate rules apply)</t>
        </is>
      </c>
      <c r="Y259" t="inlineStr">
        <is>
          <t>Enough Conservative Power (or an Illuminati action) available</t>
        </is>
      </c>
      <c r="Z259" t="inlineStr">
        <is>
          <t>Standard response window</t>
        </is>
      </c>
      <c r="AA259" t="inlineStr">
        <is>
          <t>Specific card overrides general rules</t>
        </is>
      </c>
      <c r="AB259" t="inlineStr">
        <is>
          <t>Full card scan read; behaviour paraphrased (no card text copied)</t>
        </is>
      </c>
      <c r="AC259" t="inlineStr">
        <is>
          <t>FUNCTIONALLY COMPLETE</t>
        </is>
      </c>
      <c r="AD259" t="inlineStr">
        <is>
          <t>None</t>
        </is>
      </c>
      <c r="AE259" t="inlineStr">
        <is>
          <t>Card scan (GitHub: Cha0smagick/Virtual-Illuminati-New-World-order-INWO-game), read Sep 2026</t>
        </is>
      </c>
      <c r="AF259" t="inlineStr">
        <is>
          <t>N/A</t>
        </is>
      </c>
      <c r="AG259" t="inlineStr">
        <is>
          <t>N/A</t>
        </is>
      </c>
      <c r="AH259" t="inlineStr">
        <is>
          <t>N/A</t>
        </is>
      </c>
      <c r="AI259" t="inlineStr">
        <is>
          <t>N/A</t>
        </is>
      </c>
      <c r="AJ259" t="inlineStr">
        <is>
          <t>N/A</t>
        </is>
      </c>
      <c r="AK259" t="inlineStr">
        <is>
          <t>Official rules: non-Group card types do not use normal Group control-arrow geometry.</t>
        </is>
      </c>
    </row>
    <row r="260" ht="34" customHeight="1" s="16">
      <c r="A260" s="20" t="inlineStr">
        <is>
          <t>Gang War</t>
        </is>
      </c>
      <c r="B260" s="20" t="inlineStr">
        <is>
          <t>Plot</t>
        </is>
      </c>
      <c r="C260" s="20" t="inlineStr">
        <is>
          <t>Plot</t>
        </is>
      </c>
      <c r="D260" s="20" t="inlineStr">
        <is>
          <t>Uncommon</t>
        </is>
      </c>
      <c r="E260" s="20" t="str"/>
      <c r="F260" s="20" t="str"/>
      <c r="G260" s="20" t="str"/>
      <c r="H260" s="20" t="str"/>
      <c r="I260" s="20" t="inlineStr">
        <is>
          <t>Play at any time by spending your Illuminati's action. Give an Action token to Criminal groups of yours that have none: several whose Power adds up to 5 or less, or any single one. Groups captured this turn, or barred from receiving Action tokens by a card or special ability, cannot be chosen. (Official correction applied.)</t>
        </is>
      </c>
      <c r="J260" s="20" t="inlineStr">
        <is>
          <t>Needs rules-engine encoding</t>
        </is>
      </c>
      <c r="K260" s="20" t="inlineStr">
        <is>
          <t>High</t>
        </is>
      </c>
      <c r="L260" s="20" t="str"/>
      <c r="M260" s="20" t="inlineStr">
        <is>
          <t>https://github.com/Cha0smagick/Virtual-Illuminati-New-World-order-INWO-game</t>
        </is>
      </c>
      <c r="N260" t="inlineStr">
        <is>
          <t>Play at any time</t>
        </is>
      </c>
      <c r="O260" t="inlineStr">
        <is>
          <t>Your Criminal groups without an Action token, not captured this turn: up to 5 total Power, or any one group</t>
        </is>
      </c>
      <c r="P260" t="inlineStr">
        <is>
          <t>1 Illuminati action (errata)</t>
        </is>
      </c>
      <c r="Q260" t="inlineStr">
        <is>
          <t>Immediate</t>
        </is>
      </c>
      <c r="R260" t="inlineStr">
        <is>
          <t>Chosen Criminal groups of yours with no Action token gain one (5 total Power at most, or a single group of any Power)</t>
        </is>
      </c>
      <c r="S260" t="inlineStr">
        <is>
          <t>NO</t>
        </is>
      </c>
      <c r="T260" t="inlineStr">
        <is>
          <t>N/A</t>
        </is>
      </c>
      <c r="U260" t="inlineStr">
        <is>
          <t>N/A</t>
        </is>
      </c>
      <c r="V260" t="inlineStr">
        <is>
          <t>N/A — INWO uses Plots instead of group income/money</t>
        </is>
      </c>
      <c r="W260" t="inlineStr">
        <is>
          <t>N/A</t>
        </is>
      </c>
      <c r="X260" t="inlineStr">
        <is>
          <t>No card-specific limit (base duplicate rules apply)</t>
        </is>
      </c>
      <c r="Y260" t="inlineStr">
        <is>
          <t>None beyond base rules</t>
        </is>
      </c>
      <c r="Z260" t="inlineStr">
        <is>
          <t>Standard response window</t>
        </is>
      </c>
      <c r="AA260" t="inlineStr">
        <is>
          <t>Specific card overrides general rules</t>
        </is>
      </c>
      <c r="AB260" t="inlineStr">
        <is>
          <t>Full card scan read; behaviour paraphrased (no card text copied)</t>
        </is>
      </c>
      <c r="AC260" t="inlineStr">
        <is>
          <t>FUNCTIONALLY COMPLETE</t>
        </is>
      </c>
      <c r="AD260" t="inlineStr">
        <is>
          <t>None</t>
        </is>
      </c>
      <c r="AE260" t="inlineStr">
        <is>
          <t>Card scan (GitHub: Cha0smagick/Virtual-Illuminati-New-World-order-INWO-game), read Sep 2026</t>
        </is>
      </c>
      <c r="AF260" t="inlineStr">
        <is>
          <t>N/A</t>
        </is>
      </c>
      <c r="AG260" t="inlineStr">
        <is>
          <t>N/A</t>
        </is>
      </c>
      <c r="AH260" t="inlineStr">
        <is>
          <t>N/A</t>
        </is>
      </c>
      <c r="AI260" t="inlineStr">
        <is>
          <t>N/A</t>
        </is>
      </c>
      <c r="AJ260" t="inlineStr">
        <is>
          <t>N/A</t>
        </is>
      </c>
      <c r="AK260" t="inlineStr">
        <is>
          <t>Official rules: non-Group card types do not use normal Group control-arrow geometry.</t>
        </is>
      </c>
    </row>
    <row r="261" ht="34" customHeight="1" s="16">
      <c r="A261" s="20" t="inlineStr">
        <is>
          <t>George the Janitor</t>
        </is>
      </c>
      <c r="B261" s="20" t="inlineStr">
        <is>
          <t>Plot</t>
        </is>
      </c>
      <c r="C261" s="20" t="inlineStr">
        <is>
          <t>Plot</t>
        </is>
      </c>
      <c r="D261" s="20" t="inlineStr">
        <is>
          <t>Common</t>
        </is>
      </c>
      <c r="E261" s="20" t="str"/>
      <c r="F261" s="20" t="str"/>
      <c r="G261" s="20" t="str"/>
      <c r="H261" s="20" t="str"/>
      <c r="I261" s="20" t="inlineStr">
        <is>
          <t>Play at any time using the action of one group. Pick a rival, who then selects one of their hidden Plot cards. Without seeing it, you decide whether they must expose that one card or expose all of their other hidden Plots.</t>
        </is>
      </c>
      <c r="J261" s="20" t="inlineStr">
        <is>
          <t>Needs rules-engine encoding</t>
        </is>
      </c>
      <c r="K261" s="20" t="inlineStr">
        <is>
          <t>High</t>
        </is>
      </c>
      <c r="L261" s="20" t="str"/>
      <c r="M261" s="20" t="inlineStr">
        <is>
          <t>https://github.com/Cha0smagick/Virtual-Illuminati-New-World-order-INWO-game</t>
        </is>
      </c>
      <c r="N261" t="inlineStr">
        <is>
          <t>Play at any time</t>
        </is>
      </c>
      <c r="O261" t="inlineStr">
        <is>
          <t>One rival's hidden Plot cards</t>
        </is>
      </c>
      <c r="P261" t="inlineStr">
        <is>
          <t>Action of one group</t>
        </is>
      </c>
      <c r="Q261" t="inlineStr">
        <is>
          <t>Immediate</t>
        </is>
      </c>
      <c r="R261" t="inlineStr">
        <is>
          <t>Rival picks 1 hidden Plot; you choose blind: expose it OR expose all their other hidden Plots</t>
        </is>
      </c>
      <c r="S261" t="inlineStr">
        <is>
          <t>NO</t>
        </is>
      </c>
      <c r="T261" t="inlineStr">
        <is>
          <t>N/A</t>
        </is>
      </c>
      <c r="U261" t="inlineStr">
        <is>
          <t>N/A</t>
        </is>
      </c>
      <c r="V261" t="inlineStr">
        <is>
          <t>N/A — INWO uses Plots instead of group income/money</t>
        </is>
      </c>
      <c r="W261" t="inlineStr">
        <is>
          <t>N/A</t>
        </is>
      </c>
      <c r="X261" t="inlineStr">
        <is>
          <t>No card-specific limit (base duplicate rules apply)</t>
        </is>
      </c>
      <c r="Y261" t="inlineStr">
        <is>
          <t>A group with an action available</t>
        </is>
      </c>
      <c r="Z261" t="inlineStr">
        <is>
          <t>Standard response window (Double-Cross can cancel it)</t>
        </is>
      </c>
      <c r="AA261" t="inlineStr">
        <is>
          <t>Specific card overrides general rules</t>
        </is>
      </c>
      <c r="AB261" t="inlineStr">
        <is>
          <t>Full card scan read; behaviour paraphrased (no card text copied)</t>
        </is>
      </c>
      <c r="AC261" t="inlineStr">
        <is>
          <t>FUNCTIONALLY COMPLETE</t>
        </is>
      </c>
      <c r="AD261" t="inlineStr">
        <is>
          <t>None</t>
        </is>
      </c>
      <c r="AE261" t="inlineStr">
        <is>
          <t>Card scan (GitHub: Cha0smagick/Virtual-Illuminati-New-World-order-INWO-game), read Sep 2026</t>
        </is>
      </c>
      <c r="AF261" t="inlineStr">
        <is>
          <t>N/A</t>
        </is>
      </c>
      <c r="AG261" t="inlineStr">
        <is>
          <t>N/A</t>
        </is>
      </c>
      <c r="AH261" t="inlineStr">
        <is>
          <t>N/A</t>
        </is>
      </c>
      <c r="AI261" t="inlineStr">
        <is>
          <t>N/A</t>
        </is>
      </c>
      <c r="AJ261" t="inlineStr">
        <is>
          <t>N/A</t>
        </is>
      </c>
      <c r="AK261" t="inlineStr">
        <is>
          <t>Official rules: non-Group card types do not use normal Group control-arrow geometry.</t>
        </is>
      </c>
    </row>
    <row r="262" ht="34" customHeight="1" s="16">
      <c r="A262" s="20" t="inlineStr">
        <is>
          <t>Giant Kudzu</t>
        </is>
      </c>
      <c r="B262" s="20" t="inlineStr">
        <is>
          <t>Plot</t>
        </is>
      </c>
      <c r="C262" s="20" t="inlineStr">
        <is>
          <t>Disaster</t>
        </is>
      </c>
      <c r="D262" s="20" t="inlineStr">
        <is>
          <t>Uncommon</t>
        </is>
      </c>
      <c r="E262" s="20" t="inlineStr">
        <is>
          <t>30 vs Coastal Place / 24 vs other Place</t>
        </is>
      </c>
      <c r="F262" s="20" t="str"/>
      <c r="G262" s="20" t="str"/>
      <c r="H262" s="20" t="str"/>
      <c r="I262" s="20" t="inlineStr">
        <is>
          <t>Disaster. Attack to Destroy a Place; no action needed. Attack Power: 30 versus a Coastal Place, 24 versus other Places. It is not Instant, so any group may use its action to help the defender (the Kudzu gets no aid). A success Devastates the target; beating the needed roll by more than 6 destroys the Place.</t>
        </is>
      </c>
      <c r="J262" s="20" t="inlineStr">
        <is>
          <t>Needs rules-engine encoding</t>
        </is>
      </c>
      <c r="K262" s="20" t="inlineStr">
        <is>
          <t>High</t>
        </is>
      </c>
      <c r="L262" s="20" t="str"/>
      <c r="M262" s="20" t="inlineStr">
        <is>
          <t>https://github.com/Cha0smagick/Virtual-Illuminati-New-World-order-INWO-game</t>
        </is>
      </c>
      <c r="N262" t="inlineStr">
        <is>
          <t>Play as an attack (no action required)</t>
        </is>
      </c>
      <c r="O262" t="inlineStr">
        <is>
          <t>Any Place</t>
        </is>
      </c>
      <c r="P262" t="inlineStr">
        <is>
          <t>None</t>
        </is>
      </c>
      <c r="Q262" t="inlineStr">
        <is>
          <t>Immediate</t>
        </is>
      </c>
      <c r="R262" t="inlineStr">
        <is>
          <t>Attack to Destroy (non-Instant); success = Devastated; success by 7+ = destroyed; aid only for defender</t>
        </is>
      </c>
      <c r="S262" t="inlineStr">
        <is>
          <t>NO</t>
        </is>
      </c>
      <c r="T262" t="inlineStr">
        <is>
          <t>N/A</t>
        </is>
      </c>
      <c r="U262" t="inlineStr">
        <is>
          <t>N/A</t>
        </is>
      </c>
      <c r="V262" t="inlineStr">
        <is>
          <t>N/A — INWO uses Plots instead of group income/money</t>
        </is>
      </c>
      <c r="W262" t="inlineStr">
        <is>
          <t>N/A</t>
        </is>
      </c>
      <c r="X262" t="inlineStr">
        <is>
          <t>No card-specific limit (base duplicate rules apply)</t>
        </is>
      </c>
      <c r="Y262" t="inlineStr">
        <is>
          <t>None beyond base rules</t>
        </is>
      </c>
      <c r="Z262" t="inlineStr">
        <is>
          <t>Not Instant: groups may use actions to aid the victim only</t>
        </is>
      </c>
      <c r="AA262" t="inlineStr">
        <is>
          <t>Specific card overrides general rules</t>
        </is>
      </c>
      <c r="AB262" t="inlineStr">
        <is>
          <t>Full card scan read; behaviour paraphrased (no card text copied)</t>
        </is>
      </c>
      <c r="AC262" t="inlineStr">
        <is>
          <t>FUNCTIONALLY COMPLETE</t>
        </is>
      </c>
      <c r="AD262" t="inlineStr">
        <is>
          <t>None</t>
        </is>
      </c>
      <c r="AE262" t="inlineStr">
        <is>
          <t>Card scan (GitHub: Cha0smagick/Virtual-Illuminati-New-World-order-INWO-game), read Sep 2026</t>
        </is>
      </c>
      <c r="AF262" t="inlineStr">
        <is>
          <t>N/A</t>
        </is>
      </c>
      <c r="AG262" t="inlineStr">
        <is>
          <t>N/A</t>
        </is>
      </c>
      <c r="AH262" t="inlineStr">
        <is>
          <t>N/A</t>
        </is>
      </c>
      <c r="AI262" t="inlineStr">
        <is>
          <t>N/A</t>
        </is>
      </c>
      <c r="AJ262" t="inlineStr">
        <is>
          <t>N/A</t>
        </is>
      </c>
      <c r="AK262" t="inlineStr">
        <is>
          <t>Official rules: non-Group card types do not use normal Group control-arrow geometry.</t>
        </is>
      </c>
    </row>
    <row r="263" ht="34" customHeight="1" s="16">
      <c r="A263" s="20" t="inlineStr">
        <is>
          <t>Good Polls</t>
        </is>
      </c>
      <c r="B263" s="20" t="inlineStr">
        <is>
          <t>Plot</t>
        </is>
      </c>
      <c r="C263" s="20" t="inlineStr">
        <is>
          <t>Plot</t>
        </is>
      </c>
      <c r="D263" s="20" t="inlineStr">
        <is>
          <t>Common</t>
        </is>
      </c>
      <c r="E263" s="20" t="str"/>
      <c r="F263" s="20" t="str"/>
      <c r="G263" s="20" t="str"/>
      <c r="H263" s="20" t="str"/>
      <c r="I263" s="20" t="inlineStr">
        <is>
          <t>Play at any time and choose an alignment. Until the start of your next turn, all of your groups with that alignment have their Power and Resistance tripled, but only for defense.</t>
        </is>
      </c>
      <c r="J263" s="20" t="inlineStr">
        <is>
          <t>Needs rules-engine encoding</t>
        </is>
      </c>
      <c r="K263" s="20" t="inlineStr">
        <is>
          <t>High</t>
        </is>
      </c>
      <c r="L263" s="20" t="str"/>
      <c r="M263" s="20" t="inlineStr">
        <is>
          <t>https://github.com/Cha0smagick/Virtual-Illuminati-New-World-order-INWO-game</t>
        </is>
      </c>
      <c r="N263" t="inlineStr">
        <is>
          <t>Play at any time</t>
        </is>
      </c>
      <c r="O263" t="inlineStr">
        <is>
          <t>All your groups of one chosen alignment</t>
        </is>
      </c>
      <c r="P263" t="inlineStr">
        <is>
          <t>None</t>
        </is>
      </c>
      <c r="Q263" t="inlineStr">
        <is>
          <t>Until the beginning of your next turn</t>
        </is>
      </c>
      <c r="R263" t="inlineStr">
        <is>
          <t>Power x3 and Resistance x3, defense only</t>
        </is>
      </c>
      <c r="S263" t="inlineStr">
        <is>
          <t>NO</t>
        </is>
      </c>
      <c r="T263" t="inlineStr">
        <is>
          <t>N/A</t>
        </is>
      </c>
      <c r="U263" t="inlineStr">
        <is>
          <t>N/A</t>
        </is>
      </c>
      <c r="V263" t="inlineStr">
        <is>
          <t>N/A — INWO uses Plots instead of group income/money</t>
        </is>
      </c>
      <c r="W263" t="inlineStr">
        <is>
          <t>N/A</t>
        </is>
      </c>
      <c r="X263" t="inlineStr">
        <is>
          <t>No card-specific limit (base duplicate rules apply)</t>
        </is>
      </c>
      <c r="Y263" t="inlineStr">
        <is>
          <t>None beyond base rules</t>
        </is>
      </c>
      <c r="Z263" t="inlineStr">
        <is>
          <t>Standard response window</t>
        </is>
      </c>
      <c r="AA263" t="inlineStr">
        <is>
          <t>Specific card overrides general rules</t>
        </is>
      </c>
      <c r="AB263" t="inlineStr">
        <is>
          <t>Full card scan read; behaviour paraphrased (no card text copied)</t>
        </is>
      </c>
      <c r="AC263" t="inlineStr">
        <is>
          <t>FUNCTIONALLY COMPLETE</t>
        </is>
      </c>
      <c r="AD263" t="inlineStr">
        <is>
          <t>None</t>
        </is>
      </c>
      <c r="AE263" t="inlineStr">
        <is>
          <t>Card scan (GitHub: Cha0smagick/Virtual-Illuminati-New-World-order-INWO-game), read Sep 2026</t>
        </is>
      </c>
      <c r="AF263" t="inlineStr">
        <is>
          <t>N/A</t>
        </is>
      </c>
      <c r="AG263" t="inlineStr">
        <is>
          <t>N/A</t>
        </is>
      </c>
      <c r="AH263" t="inlineStr">
        <is>
          <t>N/A</t>
        </is>
      </c>
      <c r="AI263" t="inlineStr">
        <is>
          <t>N/A</t>
        </is>
      </c>
      <c r="AJ263" t="inlineStr">
        <is>
          <t>N/A</t>
        </is>
      </c>
      <c r="AK263" t="inlineStr">
        <is>
          <t>Official rules: non-Group card types do not use normal Group control-arrow geometry.</t>
        </is>
      </c>
    </row>
    <row r="264" ht="34" customHeight="1" s="16">
      <c r="A264" s="20" t="inlineStr">
        <is>
          <t>Grassroots Support</t>
        </is>
      </c>
      <c r="B264" s="20" t="inlineStr">
        <is>
          <t>Plot</t>
        </is>
      </c>
      <c r="C264" s="20" t="inlineStr">
        <is>
          <t>Plot</t>
        </is>
      </c>
      <c r="D264" s="20" t="inlineStr">
        <is>
          <t>Common</t>
        </is>
      </c>
      <c r="E264" s="20" t="str"/>
      <c r="F264" s="20" t="str"/>
      <c r="G264" s="20" t="str"/>
      <c r="H264" s="20" t="str"/>
      <c r="I264" s="20" t="inlineStr">
        <is>
          <t>Link to one Straight group at any time, using that group's action. The group's Power becomes 6 at once. Each player may have only a single Grassroots Support in play.</t>
        </is>
      </c>
      <c r="J264" s="20" t="inlineStr">
        <is>
          <t>Needs rules-engine encoding</t>
        </is>
      </c>
      <c r="K264" s="20" t="inlineStr">
        <is>
          <t>High</t>
        </is>
      </c>
      <c r="L264" s="20" t="inlineStr">
        <is>
          <t>Card says Power 'increased to 6'; presumably no effect if already 6+.</t>
        </is>
      </c>
      <c r="M264" s="20" t="inlineStr">
        <is>
          <t>https://github.com/Cha0smagick/Virtual-Illuminati-New-World-order-INWO-game</t>
        </is>
      </c>
      <c r="N264" t="inlineStr">
        <is>
          <t>Play at any time</t>
        </is>
      </c>
      <c r="O264" t="inlineStr">
        <is>
          <t>One Straight group (your chosen)</t>
        </is>
      </c>
      <c r="P264" t="inlineStr">
        <is>
          <t>Action of the affected Straight group</t>
        </is>
      </c>
      <c r="Q264" t="inlineStr">
        <is>
          <t>Permanent while linked</t>
        </is>
      </c>
      <c r="R264" t="inlineStr">
        <is>
          <t>Set Power to 6</t>
        </is>
      </c>
      <c r="S264" t="inlineStr">
        <is>
          <t>NO</t>
        </is>
      </c>
      <c r="T264" t="inlineStr">
        <is>
          <t>N/A</t>
        </is>
      </c>
      <c r="U264" t="inlineStr">
        <is>
          <t>N/A</t>
        </is>
      </c>
      <c r="V264" t="inlineStr">
        <is>
          <t>N/A — INWO uses Plots instead of group income/money</t>
        </is>
      </c>
      <c r="W264" t="inlineStr">
        <is>
          <t>N/A</t>
        </is>
      </c>
      <c r="X264" t="inlineStr">
        <is>
          <t>Limit per player: a single copy on the table</t>
        </is>
      </c>
      <c r="Y264" t="inlineStr">
        <is>
          <t>Target Straight group has an action available</t>
        </is>
      </c>
      <c r="Z264" t="inlineStr">
        <is>
          <t>Standard response window</t>
        </is>
      </c>
      <c r="AA264" t="inlineStr">
        <is>
          <t>Specific card overrides general rules</t>
        </is>
      </c>
      <c r="AB264" t="inlineStr">
        <is>
          <t>Full card scan read; behaviour paraphrased (no card text copied)</t>
        </is>
      </c>
      <c r="AC264" t="inlineStr">
        <is>
          <t>FUNCTIONALLY COMPLETE</t>
        </is>
      </c>
      <c r="AD264" t="inlineStr">
        <is>
          <t>None</t>
        </is>
      </c>
      <c r="AE264" t="inlineStr">
        <is>
          <t>Card scan (GitHub: Cha0smagick/Virtual-Illuminati-New-World-order-INWO-game), read Sep 2026</t>
        </is>
      </c>
      <c r="AF264" t="inlineStr">
        <is>
          <t>N/A</t>
        </is>
      </c>
      <c r="AG264" t="inlineStr">
        <is>
          <t>N/A</t>
        </is>
      </c>
      <c r="AH264" t="inlineStr">
        <is>
          <t>N/A</t>
        </is>
      </c>
      <c r="AI264" t="inlineStr">
        <is>
          <t>N/A</t>
        </is>
      </c>
      <c r="AJ264" t="inlineStr">
        <is>
          <t>N/A</t>
        </is>
      </c>
      <c r="AK264" t="inlineStr">
        <is>
          <t>Official rules: non-Group card types do not use normal Group control-arrow geometry.</t>
        </is>
      </c>
    </row>
    <row r="265" ht="34" customHeight="1" s="16">
      <c r="A265" s="20" t="inlineStr">
        <is>
          <t>Gremlins</t>
        </is>
      </c>
      <c r="B265" s="20" t="inlineStr">
        <is>
          <t>Plot</t>
        </is>
      </c>
      <c r="C265" s="20" t="inlineStr">
        <is>
          <t>Plot</t>
        </is>
      </c>
      <c r="D265" s="20" t="inlineStr">
        <is>
          <t>Rare</t>
        </is>
      </c>
      <c r="E265" s="20" t="str"/>
      <c r="F265" s="20" t="str"/>
      <c r="G265" s="20" t="str"/>
      <c r="H265" s="20" t="str"/>
      <c r="I265" s="20" t="inlineStr">
        <is>
          <t>Pick one: (a) take the Action token off one Computer group, or cancel that group's action if it used its Power; or (b) make a rival return one of his Gadget Resources in play to his hand.</t>
        </is>
      </c>
      <c r="J265" s="20" t="inlineStr">
        <is>
          <t>Needs rules-engine encoding</t>
        </is>
      </c>
      <c r="K265" s="20" t="inlineStr">
        <is>
          <t>High</t>
        </is>
      </c>
      <c r="L265" s="20" t="inlineStr">
        <is>
          <t>Card does not state who chooses which Gadget; wording implies the rival puts one back (likely rival's choice). Cancelling applies only to actions that used the group's Power.</t>
        </is>
      </c>
      <c r="M265" s="20" t="inlineStr">
        <is>
          <t>https://github.com/Cha0smagick/Virtual-Illuminati-New-World-order-INWO-game</t>
        </is>
      </c>
      <c r="N265" t="inlineStr">
        <is>
          <t>Play at any time (mode a can respond to a Computer group's Power use)</t>
        </is>
      </c>
      <c r="O265" t="inlineStr">
        <is>
          <t>Any Computer group, or one Gadget Resource controlled by a rival</t>
        </is>
      </c>
      <c r="P265" t="inlineStr">
        <is>
          <t>None</t>
        </is>
      </c>
      <c r="Q265" t="inlineStr">
        <is>
          <t>Immediate</t>
        </is>
      </c>
      <c r="R265" t="inlineStr">
        <is>
          <t>Mode A: target Computer group loses Action token OR its Power-use action is cancelled; Mode B: rival returns 1 Gadget to hand</t>
        </is>
      </c>
      <c r="S265" t="inlineStr">
        <is>
          <t>NO</t>
        </is>
      </c>
      <c r="T265" t="inlineStr">
        <is>
          <t>N/A</t>
        </is>
      </c>
      <c r="U265" t="inlineStr">
        <is>
          <t>N/A</t>
        </is>
      </c>
      <c r="V265" t="inlineStr">
        <is>
          <t>N/A — INWO uses Plots instead of group income/money</t>
        </is>
      </c>
      <c r="W265" t="inlineStr">
        <is>
          <t>N/A</t>
        </is>
      </c>
      <c r="X265" t="inlineStr">
        <is>
          <t>No card-specific limit (base duplicate rules apply)</t>
        </is>
      </c>
      <c r="Y265" t="inlineStr">
        <is>
          <t>None beyond base rules</t>
        </is>
      </c>
      <c r="Z265" t="inlineStr">
        <is>
          <t>Standard response window</t>
        </is>
      </c>
      <c r="AA265" t="inlineStr">
        <is>
          <t>Specific card overrides general rules</t>
        </is>
      </c>
      <c r="AB265" t="inlineStr">
        <is>
          <t>Full card scan read; behaviour paraphrased (no card text copied)</t>
        </is>
      </c>
      <c r="AC265" t="inlineStr">
        <is>
          <t>FUNCTIONALLY COMPLETE</t>
        </is>
      </c>
      <c r="AD265" t="inlineStr">
        <is>
          <t>None</t>
        </is>
      </c>
      <c r="AE265" t="inlineStr">
        <is>
          <t>Card scan (GitHub: Cha0smagick/Virtual-Illuminati-New-World-order-INWO-game), read Sep 2026</t>
        </is>
      </c>
      <c r="AF265" t="inlineStr">
        <is>
          <t>N/A</t>
        </is>
      </c>
      <c r="AG265" t="inlineStr">
        <is>
          <t>N/A</t>
        </is>
      </c>
      <c r="AH265" t="inlineStr">
        <is>
          <t>N/A</t>
        </is>
      </c>
      <c r="AI265" t="inlineStr">
        <is>
          <t>N/A</t>
        </is>
      </c>
      <c r="AJ265" t="inlineStr">
        <is>
          <t>N/A</t>
        </is>
      </c>
      <c r="AK265" t="inlineStr">
        <is>
          <t>Official rules: non-Group card types do not use normal Group control-arrow geometry.</t>
        </is>
      </c>
    </row>
    <row r="266" ht="34" customHeight="1" s="16">
      <c r="A266" s="20" t="inlineStr">
        <is>
          <t>Harmonica Virgins</t>
        </is>
      </c>
      <c r="B266" s="20" t="inlineStr">
        <is>
          <t>Plot</t>
        </is>
      </c>
      <c r="C266" s="20" t="inlineStr">
        <is>
          <t>Plot</t>
        </is>
      </c>
      <c r="D266" s="20" t="inlineStr">
        <is>
          <t>Common</t>
        </is>
      </c>
      <c r="E266" s="20" t="str"/>
      <c r="F266" s="20" t="str"/>
      <c r="G266" s="20" t="str"/>
      <c r="H266" s="20" t="str"/>
      <c r="I266" s="20" t="inlineStr">
        <is>
          <t>At any time, give one Magic group you control +10 Power or +10 Resistance (your choice). If boosting an action, it must be played when that action is first declared and applies only to that action. If used defensively, the bonus lasts until end of the current turn and does not count toward Goals.</t>
        </is>
      </c>
      <c r="J266" s="20" t="inlineStr">
        <is>
          <t>Needs rules-engine encoding</t>
        </is>
      </c>
      <c r="K266" s="20" t="inlineStr">
        <is>
          <t>High</t>
        </is>
      </c>
      <c r="L266" s="20" t="str"/>
      <c r="M266" s="20" t="inlineStr">
        <is>
          <t>https://github.com/Cha0smagick/Virtual-Illuminati-New-World-order-INWO-game</t>
        </is>
      </c>
      <c r="N266" t="inlineStr">
        <is>
          <t>Play at any time (if with an action, only at the moment the action is declared)</t>
        </is>
      </c>
      <c r="O266" t="inlineStr">
        <is>
          <t>One Magic group you control</t>
        </is>
      </c>
      <c r="P266" t="inlineStr">
        <is>
          <t>None</t>
        </is>
      </c>
      <c r="Q266" t="inlineStr">
        <is>
          <t>Single action (offense) or until end of turn (defense)</t>
        </is>
      </c>
      <c r="R266" t="inlineStr">
        <is>
          <t>+10 Power or +10 Resistance (choose one); defensive bonus ignored for Goals</t>
        </is>
      </c>
      <c r="S266" t="inlineStr">
        <is>
          <t>NO</t>
        </is>
      </c>
      <c r="T266" t="inlineStr">
        <is>
          <t>N/A</t>
        </is>
      </c>
      <c r="U266" t="inlineStr">
        <is>
          <t>N/A</t>
        </is>
      </c>
      <c r="V266" t="inlineStr">
        <is>
          <t>N/A — INWO uses Plots instead of group income/money</t>
        </is>
      </c>
      <c r="W266" t="inlineStr">
        <is>
          <t>N/A</t>
        </is>
      </c>
      <c r="X266" t="inlineStr">
        <is>
          <t>No card-specific limit (base duplicate rules apply)</t>
        </is>
      </c>
      <c r="Y266" t="inlineStr">
        <is>
          <t>You must control a Magic group</t>
        </is>
      </c>
      <c r="Z266" t="inlineStr">
        <is>
          <t>Standard response window</t>
        </is>
      </c>
      <c r="AA266" t="inlineStr">
        <is>
          <t>Specific card overrides general rules</t>
        </is>
      </c>
      <c r="AB266" t="inlineStr">
        <is>
          <t>Full card scan read; behaviour paraphrased (no card text copied)</t>
        </is>
      </c>
      <c r="AC266" t="inlineStr">
        <is>
          <t>FUNCTIONALLY COMPLETE</t>
        </is>
      </c>
      <c r="AD266" t="inlineStr">
        <is>
          <t>None</t>
        </is>
      </c>
      <c r="AE266" t="inlineStr">
        <is>
          <t>Card scan (GitHub: Cha0smagick/Virtual-Illuminati-New-World-order-INWO-game), read Sep 2026</t>
        </is>
      </c>
      <c r="AF266" t="inlineStr">
        <is>
          <t>N/A</t>
        </is>
      </c>
      <c r="AG266" t="inlineStr">
        <is>
          <t>N/A</t>
        </is>
      </c>
      <c r="AH266" t="inlineStr">
        <is>
          <t>N/A</t>
        </is>
      </c>
      <c r="AI266" t="inlineStr">
        <is>
          <t>N/A</t>
        </is>
      </c>
      <c r="AJ266" t="inlineStr">
        <is>
          <t>N/A</t>
        </is>
      </c>
      <c r="AK266" t="inlineStr">
        <is>
          <t>Official rules: non-Group card types do not use normal Group control-arrow geometry.</t>
        </is>
      </c>
    </row>
    <row r="267" ht="34" customHeight="1" s="16">
      <c r="A267" s="20" t="inlineStr">
        <is>
          <t>Hat Trick</t>
        </is>
      </c>
      <c r="B267" s="20" t="inlineStr">
        <is>
          <t>Plot</t>
        </is>
      </c>
      <c r="C267" s="20" t="inlineStr">
        <is>
          <t>Plot</t>
        </is>
      </c>
      <c r="D267" s="20" t="inlineStr">
        <is>
          <t>Common</t>
        </is>
      </c>
      <c r="E267" s="20" t="str"/>
      <c r="F267" s="20" t="str"/>
      <c r="G267" s="20" t="str"/>
      <c r="H267" s="20" t="str"/>
      <c r="I267" s="20" t="inlineStr">
        <is>
          <t>Play immediately after you use a Plot card. Instead of discarding that Plot, discard Hat Trick and return the other Plot to your hand. Requires an action from one group with Power 3 or more.</t>
        </is>
      </c>
      <c r="J267" s="20" t="inlineStr">
        <is>
          <t>Needs rules-engine encoding</t>
        </is>
      </c>
      <c r="K267" s="20" t="inlineStr">
        <is>
          <t>High</t>
        </is>
      </c>
      <c r="L267" s="20" t="str"/>
      <c r="M267" s="20" t="inlineStr">
        <is>
          <t>https://github.com/Cha0smagick/Virtual-Illuminati-New-World-order-INWO-game</t>
        </is>
      </c>
      <c r="N267" t="inlineStr">
        <is>
          <t>Immediately after you use one of your own Plot cards</t>
        </is>
      </c>
      <c r="O267" t="inlineStr">
        <is>
          <t>One Plot card you just used</t>
        </is>
      </c>
      <c r="P267" t="inlineStr">
        <is>
          <t>Action of one group with Power &gt;= 3</t>
        </is>
      </c>
      <c r="Q267" t="inlineStr">
        <is>
          <t>Immediate</t>
        </is>
      </c>
      <c r="R267" t="inlineStr">
        <is>
          <t>Used Plot returns to your hand; Hat Trick discarded in its place</t>
        </is>
      </c>
      <c r="S267" t="inlineStr">
        <is>
          <t>NO</t>
        </is>
      </c>
      <c r="T267" t="inlineStr">
        <is>
          <t>N/A</t>
        </is>
      </c>
      <c r="U267" t="inlineStr">
        <is>
          <t>N/A</t>
        </is>
      </c>
      <c r="V267" t="inlineStr">
        <is>
          <t>N/A — INWO uses Plots instead of group income/money</t>
        </is>
      </c>
      <c r="W267" t="inlineStr">
        <is>
          <t>N/A</t>
        </is>
      </c>
      <c r="X267" t="inlineStr">
        <is>
          <t>No card-specific limit (base duplicate rules apply)</t>
        </is>
      </c>
      <c r="Y267" t="inlineStr">
        <is>
          <t>You just used a Plot card; have an untapped group with Power 3+</t>
        </is>
      </c>
      <c r="Z267" t="inlineStr">
        <is>
          <t>Standard response window</t>
        </is>
      </c>
      <c r="AA267" t="inlineStr">
        <is>
          <t>Specific card overrides general rules</t>
        </is>
      </c>
      <c r="AB267" t="inlineStr">
        <is>
          <t>Full card scan read; behaviour paraphrased (no card text copied)</t>
        </is>
      </c>
      <c r="AC267" t="inlineStr">
        <is>
          <t>FUNCTIONALLY COMPLETE</t>
        </is>
      </c>
      <c r="AD267" t="inlineStr">
        <is>
          <t>None</t>
        </is>
      </c>
      <c r="AE267" t="inlineStr">
        <is>
          <t>Card scan (GitHub: Cha0smagick/Virtual-Illuminati-New-World-order-INWO-game), read Sep 2026</t>
        </is>
      </c>
      <c r="AF267" t="inlineStr">
        <is>
          <t>N/A</t>
        </is>
      </c>
      <c r="AG267" t="inlineStr">
        <is>
          <t>N/A</t>
        </is>
      </c>
      <c r="AH267" t="inlineStr">
        <is>
          <t>N/A</t>
        </is>
      </c>
      <c r="AI267" t="inlineStr">
        <is>
          <t>N/A</t>
        </is>
      </c>
      <c r="AJ267" t="inlineStr">
        <is>
          <t>N/A</t>
        </is>
      </c>
      <c r="AK267" t="inlineStr">
        <is>
          <t>Official rules: non-Group card types do not use normal Group control-arrow geometry.</t>
        </is>
      </c>
    </row>
    <row r="268" ht="34" customHeight="1" s="16">
      <c r="A268" s="20" t="inlineStr">
        <is>
          <t>Head in a Jar</t>
        </is>
      </c>
      <c r="B268" s="20" t="inlineStr">
        <is>
          <t>Plot</t>
        </is>
      </c>
      <c r="C268" s="20" t="inlineStr">
        <is>
          <t>Plot</t>
        </is>
      </c>
      <c r="D268" s="20" t="inlineStr">
        <is>
          <t>Uncommon</t>
        </is>
      </c>
      <c r="E268" s="20" t="str"/>
      <c r="F268" s="20" t="str"/>
      <c r="G268" s="20" t="str"/>
      <c r="H268" s="20" t="str"/>
      <c r="I268" s="20" t="inlineStr">
        <is>
          <t>Play when a Personality of yours is killed; this beats any enemy effect that would capture it or remove it for good. Attach this card to that Personality, which stays in play but can never gain control of a group it did not control already. It has +10 against later Assassinations, and it may still use its Power to Attack to Destroy or to aid attacks.</t>
        </is>
      </c>
      <c r="J268" s="20" t="inlineStr">
        <is>
          <t>Needs rules-engine encoding</t>
        </is>
      </c>
      <c r="K268" s="20" t="inlineStr">
        <is>
          <t>High</t>
        </is>
      </c>
      <c r="L268" s="20" t="inlineStr">
        <is>
          <t>Card implies it cannot make Attacks to Control new groups (only Destroy or aid); can keep groups it already controlled.</t>
        </is>
      </c>
      <c r="M268" s="20" t="inlineStr">
        <is>
          <t>https://github.com/Cha0smagick/Virtual-Illuminati-New-World-order-INWO-game</t>
        </is>
      </c>
      <c r="N268" t="inlineStr">
        <is>
          <t>As a Personality you control dies (killed or destroyed)</t>
        </is>
      </c>
      <c r="O268" t="inlineStr">
        <is>
          <t>One of your Personalities</t>
        </is>
      </c>
      <c r="P268" t="inlineStr">
        <is>
          <t>None</t>
        </is>
      </c>
      <c r="Q268" t="inlineStr">
        <is>
          <t>Permanent while in play</t>
        </is>
      </c>
      <c r="R268" t="inlineStr">
        <is>
          <t>Personality survives; cannot gain control of new groups; +10 defense vs Assassinations; may Attack to Destroy or aid attacks</t>
        </is>
      </c>
      <c r="S268" t="inlineStr">
        <is>
          <t>NO</t>
        </is>
      </c>
      <c r="T268" t="inlineStr">
        <is>
          <t>N/A</t>
        </is>
      </c>
      <c r="U268" t="inlineStr">
        <is>
          <t>N/A</t>
        </is>
      </c>
      <c r="V268" t="inlineStr">
        <is>
          <t>N/A — INWO uses Plots instead of group income/money</t>
        </is>
      </c>
      <c r="W268" t="inlineStr">
        <is>
          <t>N/A</t>
        </is>
      </c>
      <c r="X268" t="inlineStr">
        <is>
          <t>No card-specific limit (base duplicate rules apply)</t>
        </is>
      </c>
      <c r="Y268" t="inlineStr">
        <is>
          <t>A Personality you control was just killed</t>
        </is>
      </c>
      <c r="Z268" t="inlineStr">
        <is>
          <t>Takes precedence over enemy capture/permanent-elimination effects on that card</t>
        </is>
      </c>
      <c r="AA268" t="inlineStr">
        <is>
          <t>Specific card overrides general rules</t>
        </is>
      </c>
      <c r="AB268" t="inlineStr">
        <is>
          <t>Full card scan read; behaviour paraphrased (no card text copied)</t>
        </is>
      </c>
      <c r="AC268" t="inlineStr">
        <is>
          <t>FUNCTIONALLY COMPLETE</t>
        </is>
      </c>
      <c r="AD268" t="inlineStr">
        <is>
          <t>None</t>
        </is>
      </c>
      <c r="AE268" t="inlineStr">
        <is>
          <t>Card scan (GitHub: Cha0smagick/Virtual-Illuminati-New-World-order-INWO-game), read Sep 2026</t>
        </is>
      </c>
      <c r="AF268" t="inlineStr">
        <is>
          <t>N/A</t>
        </is>
      </c>
      <c r="AG268" t="inlineStr">
        <is>
          <t>N/A</t>
        </is>
      </c>
      <c r="AH268" t="inlineStr">
        <is>
          <t>N/A</t>
        </is>
      </c>
      <c r="AI268" t="inlineStr">
        <is>
          <t>N/A</t>
        </is>
      </c>
      <c r="AJ268" t="inlineStr">
        <is>
          <t>N/A</t>
        </is>
      </c>
      <c r="AK268" t="inlineStr">
        <is>
          <t>Official rules: non-Group card types do not use normal Group control-arrow geometry.</t>
        </is>
      </c>
    </row>
    <row r="269" ht="34" customHeight="1" s="16">
      <c r="A269" s="20" t="inlineStr">
        <is>
          <t>Hex</t>
        </is>
      </c>
      <c r="B269" s="20" t="inlineStr">
        <is>
          <t>Plot</t>
        </is>
      </c>
      <c r="C269" s="20" t="inlineStr">
        <is>
          <t>Plot</t>
        </is>
      </c>
      <c r="D269" s="20" t="inlineStr">
        <is>
          <t>Rare</t>
        </is>
      </c>
      <c r="E269" s="20" t="str"/>
      <c r="F269" s="20" t="str"/>
      <c r="G269" s="20" t="str"/>
      <c r="H269" s="20" t="str"/>
      <c r="I269" s="20" t="inlineStr">
        <is>
          <t>Destroy a Magic Resource belonging to a rival and discard it. Playable anytime but not in a privileged attack. Costs the action of your Illuminati or of a Magic group of Power 3 or more.</t>
        </is>
      </c>
      <c r="J269" s="20" t="inlineStr">
        <is>
          <t>Needs rules-engine encoding</t>
        </is>
      </c>
      <c r="K269" s="20" t="inlineStr">
        <is>
          <t>High</t>
        </is>
      </c>
      <c r="L269" s="20" t="str"/>
      <c r="M269" s="20" t="inlineStr">
        <is>
          <t>https://github.com/Cha0smagick/Virtual-Illuminati-New-World-order-INWO-game</t>
        </is>
      </c>
      <c r="N269" t="inlineStr">
        <is>
          <t>Any time, unless a privileged attack is underway</t>
        </is>
      </c>
      <c r="O269" t="inlineStr">
        <is>
          <t>One Magic Resource controlled by a rival</t>
        </is>
      </c>
      <c r="P269" t="inlineStr">
        <is>
          <t>Illuminati action OR action of one Magic group with Power &gt;= 3</t>
        </is>
      </c>
      <c r="Q269" t="inlineStr">
        <is>
          <t>Immediate</t>
        </is>
      </c>
      <c r="R269" t="inlineStr">
        <is>
          <t>Target Magic Resource destroyed and discarded</t>
        </is>
      </c>
      <c r="S269" t="inlineStr">
        <is>
          <t>NO</t>
        </is>
      </c>
      <c r="T269" t="inlineStr">
        <is>
          <t>N/A</t>
        </is>
      </c>
      <c r="U269" t="inlineStr">
        <is>
          <t>N/A</t>
        </is>
      </c>
      <c r="V269" t="inlineStr">
        <is>
          <t>N/A — INWO uses Plots instead of group income/money</t>
        </is>
      </c>
      <c r="W269" t="inlineStr">
        <is>
          <t>N/A</t>
        </is>
      </c>
      <c r="X269" t="inlineStr">
        <is>
          <t>No card-specific limit (base duplicate rules apply)</t>
        </is>
      </c>
      <c r="Y269" t="inlineStr">
        <is>
          <t>Not during a privileged attack; a rival controls a Magic Resource</t>
        </is>
      </c>
      <c r="Z269" t="inlineStr">
        <is>
          <t>Standard response window</t>
        </is>
      </c>
      <c r="AA269" t="inlineStr">
        <is>
          <t>Specific card overrides general rules</t>
        </is>
      </c>
      <c r="AB269" t="inlineStr">
        <is>
          <t>Full card scan read; behaviour paraphrased (no card text copied)</t>
        </is>
      </c>
      <c r="AC269" t="inlineStr">
        <is>
          <t>FUNCTIONALLY COMPLETE</t>
        </is>
      </c>
      <c r="AD269" t="inlineStr">
        <is>
          <t>None</t>
        </is>
      </c>
      <c r="AE269" t="inlineStr">
        <is>
          <t>Card scan (GitHub: Cha0smagick/Virtual-Illuminati-New-World-order-INWO-game), read Sep 2026</t>
        </is>
      </c>
      <c r="AF269" t="inlineStr">
        <is>
          <t>N/A</t>
        </is>
      </c>
      <c r="AG269" t="inlineStr">
        <is>
          <t>N/A</t>
        </is>
      </c>
      <c r="AH269" t="inlineStr">
        <is>
          <t>N/A</t>
        </is>
      </c>
      <c r="AI269" t="inlineStr">
        <is>
          <t>N/A</t>
        </is>
      </c>
      <c r="AJ269" t="inlineStr">
        <is>
          <t>N/A</t>
        </is>
      </c>
      <c r="AK269" t="inlineStr">
        <is>
          <t>Official rules: non-Group card types do not use normal Group control-arrow geometry.</t>
        </is>
      </c>
    </row>
    <row r="270" ht="34" customHeight="1" s="16">
      <c r="A270" s="20" t="inlineStr">
        <is>
          <t>Hidden Influence</t>
        </is>
      </c>
      <c r="B270" s="20" t="inlineStr">
        <is>
          <t>Plot</t>
        </is>
      </c>
      <c r="C270" s="20" t="inlineStr">
        <is>
          <t>Plot</t>
        </is>
      </c>
      <c r="D270" s="20" t="inlineStr">
        <is>
          <t>Rare</t>
        </is>
      </c>
      <c r="E270" s="20" t="str"/>
      <c r="F270" s="20" t="str"/>
      <c r="G270" s="20" t="str"/>
      <c r="H270" s="20" t="str"/>
      <c r="I270" s="20" t="inlineStr">
        <is>
          <t>Set the chosen group's Global Power equal to its Power, and link this card to it. Costs your Illuminati's action.</t>
        </is>
      </c>
      <c r="J270" s="20" t="inlineStr">
        <is>
          <t>Needs rules-engine encoding</t>
        </is>
      </c>
      <c r="K270" s="20" t="inlineStr">
        <is>
          <t>High</t>
        </is>
      </c>
      <c r="L270" s="20" t="inlineStr">
        <is>
          <t>Card does not restrict to your own groups ('group of your choice').</t>
        </is>
      </c>
      <c r="M270" s="20" t="inlineStr">
        <is>
          <t>https://github.com/Cha0smagick/Virtual-Illuminati-New-World-order-INWO-game</t>
        </is>
      </c>
      <c r="N270" t="inlineStr">
        <is>
          <t>Play at any time</t>
        </is>
      </c>
      <c r="O270" t="inlineStr">
        <is>
          <t>Any group of your choice</t>
        </is>
      </c>
      <c r="P270" t="inlineStr">
        <is>
          <t>1 Illuminati action</t>
        </is>
      </c>
      <c r="Q270" t="inlineStr">
        <is>
          <t>Permanent while linked</t>
        </is>
      </c>
      <c r="R270" t="inlineStr">
        <is>
          <t>Global Power := regular Power</t>
        </is>
      </c>
      <c r="S270" t="inlineStr">
        <is>
          <t>NO</t>
        </is>
      </c>
      <c r="T270" t="inlineStr">
        <is>
          <t>N/A</t>
        </is>
      </c>
      <c r="U270" t="inlineStr">
        <is>
          <t>N/A</t>
        </is>
      </c>
      <c r="V270" t="inlineStr">
        <is>
          <t>N/A — INWO uses Plots instead of group income/money</t>
        </is>
      </c>
      <c r="W270" t="inlineStr">
        <is>
          <t>N/A</t>
        </is>
      </c>
      <c r="X270" t="inlineStr">
        <is>
          <t>No card-specific limit (base duplicate rules apply)</t>
        </is>
      </c>
      <c r="Y270" t="inlineStr">
        <is>
          <t>None beyond base rules</t>
        </is>
      </c>
      <c r="Z270" t="inlineStr">
        <is>
          <t>Standard response window</t>
        </is>
      </c>
      <c r="AA270" t="inlineStr">
        <is>
          <t>Specific card overrides general rules</t>
        </is>
      </c>
      <c r="AB270" t="inlineStr">
        <is>
          <t>Full card scan read; behaviour paraphrased (no card text copied)</t>
        </is>
      </c>
      <c r="AC270" t="inlineStr">
        <is>
          <t>FUNCTIONALLY COMPLETE</t>
        </is>
      </c>
      <c r="AD270" t="inlineStr">
        <is>
          <t>None</t>
        </is>
      </c>
      <c r="AE270" t="inlineStr">
        <is>
          <t>Card scan (GitHub: Cha0smagick/Virtual-Illuminati-New-World-order-INWO-game), read Sep 2026</t>
        </is>
      </c>
      <c r="AF270" t="inlineStr">
        <is>
          <t>N/A</t>
        </is>
      </c>
      <c r="AG270" t="inlineStr">
        <is>
          <t>N/A</t>
        </is>
      </c>
      <c r="AH270" t="inlineStr">
        <is>
          <t>N/A</t>
        </is>
      </c>
      <c r="AI270" t="inlineStr">
        <is>
          <t>N/A</t>
        </is>
      </c>
      <c r="AJ270" t="inlineStr">
        <is>
          <t>N/A</t>
        </is>
      </c>
      <c r="AK270" t="inlineStr">
        <is>
          <t>Official rules: non-Group card types do not use normal Group control-arrow geometry.</t>
        </is>
      </c>
    </row>
    <row r="271" ht="34" customHeight="1" s="16">
      <c r="A271" s="20" t="inlineStr">
        <is>
          <t>Hit and Run</t>
        </is>
      </c>
      <c r="B271" s="20" t="inlineStr">
        <is>
          <t>Plot</t>
        </is>
      </c>
      <c r="C271" s="20" t="inlineStr">
        <is>
          <t>Assassination</t>
        </is>
      </c>
      <c r="D271" s="20" t="inlineStr">
        <is>
          <t>Common</t>
        </is>
      </c>
      <c r="E271" s="20" t="inlineStr">
        <is>
          <t>10</t>
        </is>
      </c>
      <c r="F271" s="20" t="str"/>
      <c r="G271" s="20" t="str"/>
      <c r="H271" s="20" t="str"/>
      <c r="I271" s="20" t="inlineStr">
        <is>
          <t>Assassination: an Instant Attack to Destroy against any Personality, usable at any time and without an action, with Power 10. Optionally, one single Fanatic group may spend its action to join, adding its own Power.</t>
        </is>
      </c>
      <c r="J271" s="20" t="inlineStr">
        <is>
          <t>Needs rules-engine encoding</t>
        </is>
      </c>
      <c r="K271" s="20" t="inlineStr">
        <is>
          <t>High</t>
        </is>
      </c>
      <c r="L271" s="20" t="inlineStr">
        <is>
          <t>Assassination subtype; standard Attack-to-Destroy resolution and defenses apply.</t>
        </is>
      </c>
      <c r="M271" s="20" t="inlineStr">
        <is>
          <t>https://github.com/Cha0smagick/Virtual-Illuminati-New-World-order-INWO-game</t>
        </is>
      </c>
      <c r="N271" t="inlineStr">
        <is>
          <t>Play at any time (Instant Attack)</t>
        </is>
      </c>
      <c r="O271" t="inlineStr">
        <is>
          <t>Any Personality</t>
        </is>
      </c>
      <c r="P271" t="inlineStr">
        <is>
          <t>None (optional: action of one Fanatic group)</t>
        </is>
      </c>
      <c r="Q271" t="inlineStr">
        <is>
          <t>Immediate</t>
        </is>
      </c>
      <c r="R271" t="inlineStr">
        <is>
          <t>Attack to Destroy at Power 10 (+ Power of one optional Fanatic group)</t>
        </is>
      </c>
      <c r="S271" t="inlineStr">
        <is>
          <t>NO</t>
        </is>
      </c>
      <c r="T271" t="inlineStr">
        <is>
          <t>N/A</t>
        </is>
      </c>
      <c r="U271" t="inlineStr">
        <is>
          <t>N/A</t>
        </is>
      </c>
      <c r="V271" t="inlineStr">
        <is>
          <t>N/A — INWO uses Plots instead of group income/money</t>
        </is>
      </c>
      <c r="W271" t="inlineStr">
        <is>
          <t>N/A</t>
        </is>
      </c>
      <c r="X271" t="inlineStr">
        <is>
          <t>No card-specific limit (base duplicate rules apply)</t>
        </is>
      </c>
      <c r="Y271" t="inlineStr">
        <is>
          <t>None beyond base rules</t>
        </is>
      </c>
      <c r="Z271" t="inlineStr">
        <is>
          <t>Standard response window</t>
        </is>
      </c>
      <c r="AA271" t="inlineStr">
        <is>
          <t>Specific card overrides general rules</t>
        </is>
      </c>
      <c r="AB271" t="inlineStr">
        <is>
          <t>Full card scan read; behaviour paraphrased (no card text copied)</t>
        </is>
      </c>
      <c r="AC271" t="inlineStr">
        <is>
          <t>FUNCTIONALLY COMPLETE</t>
        </is>
      </c>
      <c r="AD271" t="inlineStr">
        <is>
          <t>None</t>
        </is>
      </c>
      <c r="AE271" t="inlineStr">
        <is>
          <t>Card scan (GitHub: Cha0smagick/Virtual-Illuminati-New-World-order-INWO-game), read Sep 2026</t>
        </is>
      </c>
      <c r="AF271" t="inlineStr">
        <is>
          <t>N/A</t>
        </is>
      </c>
      <c r="AG271" t="inlineStr">
        <is>
          <t>N/A</t>
        </is>
      </c>
      <c r="AH271" t="inlineStr">
        <is>
          <t>N/A</t>
        </is>
      </c>
      <c r="AI271" t="inlineStr">
        <is>
          <t>N/A</t>
        </is>
      </c>
      <c r="AJ271" t="inlineStr">
        <is>
          <t>N/A</t>
        </is>
      </c>
      <c r="AK271" t="inlineStr">
        <is>
          <t>Official rules: non-Group card types do not use normal Group control-arrow geometry.</t>
        </is>
      </c>
    </row>
    <row r="272" ht="34" customHeight="1" s="16">
      <c r="A272" s="20" t="inlineStr">
        <is>
          <t>Hoax</t>
        </is>
      </c>
      <c r="B272" s="20" t="inlineStr">
        <is>
          <t>Plot</t>
        </is>
      </c>
      <c r="C272" s="20" t="inlineStr">
        <is>
          <t>Plot</t>
        </is>
      </c>
      <c r="D272" s="20" t="inlineStr">
        <is>
          <t>Uncommon</t>
        </is>
      </c>
      <c r="E272" s="20" t="str"/>
      <c r="F272" s="20" t="str"/>
      <c r="G272" s="20" t="str"/>
      <c r="H272" s="20" t="str"/>
      <c r="I272" s="20" t="inlineStr">
        <is>
          <t>Play right after someone plays another Plot card, whoever played it and whatever it was for. Cancel that Plot; discard it along with Hoax. Costs actions of one or more groups totalling Power 6+, and you also discard the top undrawn card of your Plot deck.</t>
        </is>
      </c>
      <c r="J272" s="20" t="inlineStr">
        <is>
          <t>Needs rules-engine encoding</t>
        </is>
      </c>
      <c r="K272" s="20" t="inlineStr">
        <is>
          <t>High</t>
        </is>
      </c>
      <c r="L272" s="20" t="str"/>
      <c r="M272" s="20" t="inlineStr">
        <is>
          <t>https://github.com/Cha0smagick/Virtual-Illuminati-New-World-order-INWO-game</t>
        </is>
      </c>
      <c r="N272" t="inlineStr">
        <is>
          <t>Right after someone plays a different Plot card</t>
        </is>
      </c>
      <c r="O272" t="inlineStr">
        <is>
          <t>Any just-played Plot card</t>
        </is>
      </c>
      <c r="P272" t="inlineStr">
        <is>
          <t>Action(s) of group(s) with total Power &gt;= 6 AND discard top card of your Plot deck</t>
        </is>
      </c>
      <c r="Q272" t="inlineStr">
        <is>
          <t>Immediate</t>
        </is>
      </c>
      <c r="R272" t="inlineStr">
        <is>
          <t>Target Plot cancelled (no effect); both cards discarded</t>
        </is>
      </c>
      <c r="S272" t="inlineStr">
        <is>
          <t>NO</t>
        </is>
      </c>
      <c r="T272" t="inlineStr">
        <is>
          <t>N/A</t>
        </is>
      </c>
      <c r="U272" t="inlineStr">
        <is>
          <t>N/A</t>
        </is>
      </c>
      <c r="V272" t="inlineStr">
        <is>
          <t>N/A — INWO uses Plots instead of group income/money</t>
        </is>
      </c>
      <c r="W272" t="inlineStr">
        <is>
          <t>N/A</t>
        </is>
      </c>
      <c r="X272" t="inlineStr">
        <is>
          <t>No card-specific limit (base duplicate rules apply)</t>
        </is>
      </c>
      <c r="Y272" t="inlineStr">
        <is>
          <t>None beyond base rules</t>
        </is>
      </c>
      <c r="Z272" t="inlineStr">
        <is>
          <t>Standard response window</t>
        </is>
      </c>
      <c r="AA272" t="inlineStr">
        <is>
          <t>Specific card overrides general rules</t>
        </is>
      </c>
      <c r="AB272" t="inlineStr">
        <is>
          <t>Full card scan read; behaviour paraphrased (no card text copied)</t>
        </is>
      </c>
      <c r="AC272" t="inlineStr">
        <is>
          <t>FUNCTIONALLY COMPLETE</t>
        </is>
      </c>
      <c r="AD272" t="inlineStr">
        <is>
          <t>None</t>
        </is>
      </c>
      <c r="AE272" t="inlineStr">
        <is>
          <t>Card scan (GitHub: Cha0smagick/Virtual-Illuminati-New-World-order-INWO-game), read Sep 2026</t>
        </is>
      </c>
      <c r="AF272" t="inlineStr">
        <is>
          <t>N/A</t>
        </is>
      </c>
      <c r="AG272" t="inlineStr">
        <is>
          <t>N/A</t>
        </is>
      </c>
      <c r="AH272" t="inlineStr">
        <is>
          <t>N/A</t>
        </is>
      </c>
      <c r="AI272" t="inlineStr">
        <is>
          <t>N/A</t>
        </is>
      </c>
      <c r="AJ272" t="inlineStr">
        <is>
          <t>N/A</t>
        </is>
      </c>
      <c r="AK272" t="inlineStr">
        <is>
          <t>Official rules: non-Group card types do not use normal Group control-arrow geometry.</t>
        </is>
      </c>
    </row>
    <row r="273" ht="34" customHeight="1" s="16">
      <c r="A273" s="20" t="inlineStr">
        <is>
          <t>Hurricane</t>
        </is>
      </c>
      <c r="B273" s="20" t="inlineStr">
        <is>
          <t>Plot</t>
        </is>
      </c>
      <c r="C273" s="20" t="inlineStr">
        <is>
          <t>Disaster</t>
        </is>
      </c>
      <c r="D273" s="20" t="inlineStr">
        <is>
          <t>Common</t>
        </is>
      </c>
      <c r="E273" s="20" t="inlineStr">
        <is>
          <t>16 (Huge Place) / 20 (other Place)</t>
        </is>
      </c>
      <c r="F273" s="20" t="str"/>
      <c r="G273" s="20" t="str"/>
      <c r="H273" s="20" t="str"/>
      <c r="I273" s="20" t="inlineStr">
        <is>
          <t>Disaster. Instant Attack to Destroy a Coastal Place; no action needed. Attack Power 16 versus a Huge Place and 20 versus other Places. A success Devastates the target, but this attack never destroys it.</t>
        </is>
      </c>
      <c r="J273" s="20" t="inlineStr">
        <is>
          <t>Needs rules-engine encoding</t>
        </is>
      </c>
      <c r="K273" s="20" t="inlineStr">
        <is>
          <t>High</t>
        </is>
      </c>
      <c r="L273" s="20" t="str"/>
      <c r="M273" s="20" t="inlineStr">
        <is>
          <t>https://github.com/Cha0smagick/Virtual-Illuminati-New-World-order-INWO-game</t>
        </is>
      </c>
      <c r="N273" t="inlineStr">
        <is>
          <t>Play at any time (Instant Attack)</t>
        </is>
      </c>
      <c r="O273" t="inlineStr">
        <is>
          <t>Any Coastal Place</t>
        </is>
      </c>
      <c r="P273" t="inlineStr">
        <is>
          <t>None</t>
        </is>
      </c>
      <c r="Q273" t="inlineStr">
        <is>
          <t>Immediate (Devastated status per base rules)</t>
        </is>
      </c>
      <c r="R273" t="inlineStr">
        <is>
          <t>Power 16 vs Huge Place / 20 vs other Place; success =&gt; target Devastated; cannot destroy</t>
        </is>
      </c>
      <c r="S273" t="inlineStr">
        <is>
          <t>NO</t>
        </is>
      </c>
      <c r="T273" t="inlineStr">
        <is>
          <t>N/A</t>
        </is>
      </c>
      <c r="U273" t="inlineStr">
        <is>
          <t>N/A</t>
        </is>
      </c>
      <c r="V273" t="inlineStr">
        <is>
          <t>N/A — INWO uses Plots instead of group income/money</t>
        </is>
      </c>
      <c r="W273" t="inlineStr">
        <is>
          <t>N/A</t>
        </is>
      </c>
      <c r="X273" t="inlineStr">
        <is>
          <t>No card-specific limit (base duplicate rules apply)</t>
        </is>
      </c>
      <c r="Y273" t="inlineStr">
        <is>
          <t>Target must be a Coastal Place</t>
        </is>
      </c>
      <c r="Z273" t="inlineStr">
        <is>
          <t>Standard response window</t>
        </is>
      </c>
      <c r="AA273" t="inlineStr">
        <is>
          <t>Specific card overrides general rules</t>
        </is>
      </c>
      <c r="AB273" t="inlineStr">
        <is>
          <t>Full card scan read; behaviour paraphrased (no card text copied)</t>
        </is>
      </c>
      <c r="AC273" t="inlineStr">
        <is>
          <t>FUNCTIONALLY COMPLETE</t>
        </is>
      </c>
      <c r="AD273" t="inlineStr">
        <is>
          <t>None</t>
        </is>
      </c>
      <c r="AE273" t="inlineStr">
        <is>
          <t>Card scan (GitHub: Cha0smagick/Virtual-Illuminati-New-World-order-INWO-game), read Sep 2026</t>
        </is>
      </c>
      <c r="AF273" t="inlineStr">
        <is>
          <t>N/A</t>
        </is>
      </c>
      <c r="AG273" t="inlineStr">
        <is>
          <t>N/A</t>
        </is>
      </c>
      <c r="AH273" t="inlineStr">
        <is>
          <t>N/A</t>
        </is>
      </c>
      <c r="AI273" t="inlineStr">
        <is>
          <t>N/A</t>
        </is>
      </c>
      <c r="AJ273" t="inlineStr">
        <is>
          <t>N/A</t>
        </is>
      </c>
      <c r="AK273" t="inlineStr">
        <is>
          <t>Official rules: non-Group card types do not use normal Group control-arrow geometry.</t>
        </is>
      </c>
    </row>
    <row r="274" ht="34" customHeight="1" s="16">
      <c r="A274" s="20" t="inlineStr">
        <is>
          <t>I Lied</t>
        </is>
      </c>
      <c r="B274" s="20" t="inlineStr">
        <is>
          <t>Plot</t>
        </is>
      </c>
      <c r="C274" s="20" t="inlineStr">
        <is>
          <t>Plot</t>
        </is>
      </c>
      <c r="D274" s="20" t="inlineStr">
        <is>
          <t>Uncommon</t>
        </is>
      </c>
      <c r="E274" s="20" t="str"/>
      <c r="F274" s="20" t="str"/>
      <c r="G274" s="20" t="str"/>
      <c r="H274" s="20" t="str"/>
      <c r="I274" s="20" t="inlineStr">
        <is>
          <t>Play just after you make a deal to sell or trade anything (groups, Plots, and so on). You no longer owe your part, but the other side still has to deliver theirs. This version has no deals or trades between players, so the card has no effect and cannot be played.</t>
        </is>
      </c>
      <c r="J274" s="20" t="inlineStr">
        <is>
          <t>Needs rules-engine encoding</t>
        </is>
      </c>
      <c r="K274" s="20" t="inlineStr">
        <is>
          <t>High</t>
        </is>
      </c>
      <c r="L274" s="20" t="str"/>
      <c r="M274" s="20" t="inlineStr">
        <is>
          <t>https://github.com/Cha0smagick/Virtual-Illuminati-New-World-order-INWO-game</t>
        </is>
      </c>
      <c r="N274" t="inlineStr">
        <is>
          <t>Right after you strike a deal, sale, or trade</t>
        </is>
      </c>
      <c r="O274" t="inlineStr">
        <is>
          <t>The other party to the deal</t>
        </is>
      </c>
      <c r="P274" t="inlineStr">
        <is>
          <t>None</t>
        </is>
      </c>
      <c r="Q274" t="inlineStr">
        <is>
          <t>Immediate</t>
        </is>
      </c>
      <c r="R274" t="inlineStr">
        <is>
          <t>You owe nothing; counterparty must complete their side (no effect here: players cannot make deals)</t>
        </is>
      </c>
      <c r="S274" t="inlineStr">
        <is>
          <t>NO</t>
        </is>
      </c>
      <c r="T274" t="inlineStr">
        <is>
          <t>N/A</t>
        </is>
      </c>
      <c r="U274" t="inlineStr">
        <is>
          <t>N/A</t>
        </is>
      </c>
      <c r="V274" t="inlineStr">
        <is>
          <t>N/A — INWO uses Plots instead of group income/money</t>
        </is>
      </c>
      <c r="W274" t="inlineStr">
        <is>
          <t>N/A</t>
        </is>
      </c>
      <c r="X274" t="inlineStr">
        <is>
          <t>No card-specific limit (base duplicate rules apply)</t>
        </is>
      </c>
      <c r="Y274" t="inlineStr">
        <is>
          <t>You have just agreed to a deal</t>
        </is>
      </c>
      <c r="Z274" t="inlineStr">
        <is>
          <t>Standard response window</t>
        </is>
      </c>
      <c r="AA274" t="inlineStr">
        <is>
          <t>Specific card overrides general rules</t>
        </is>
      </c>
      <c r="AB274" t="inlineStr">
        <is>
          <t>Full card scan read; behaviour paraphrased (no card text copied)</t>
        </is>
      </c>
      <c r="AC274" t="inlineStr">
        <is>
          <t>FUNCTIONALLY COMPLETE</t>
        </is>
      </c>
      <c r="AD274" t="inlineStr">
        <is>
          <t>None</t>
        </is>
      </c>
      <c r="AE274" t="inlineStr">
        <is>
          <t>Card scan (GitHub: Cha0smagick/Virtual-Illuminati-New-World-order-INWO-game), read Sep 2026</t>
        </is>
      </c>
      <c r="AF274" t="inlineStr">
        <is>
          <t>N/A</t>
        </is>
      </c>
      <c r="AG274" t="inlineStr">
        <is>
          <t>N/A</t>
        </is>
      </c>
      <c r="AH274" t="inlineStr">
        <is>
          <t>N/A</t>
        </is>
      </c>
      <c r="AI274" t="inlineStr">
        <is>
          <t>N/A</t>
        </is>
      </c>
      <c r="AJ274" t="inlineStr">
        <is>
          <t>N/A</t>
        </is>
      </c>
      <c r="AK274" t="inlineStr">
        <is>
          <t>Official rules: non-Group card types do not use normal Group control-arrow geometry.</t>
        </is>
      </c>
    </row>
    <row r="275" ht="34" customHeight="1" s="16">
      <c r="A275" s="20" t="inlineStr">
        <is>
          <t>Impostor</t>
        </is>
      </c>
      <c r="B275" s="20" t="inlineStr">
        <is>
          <t>Plot</t>
        </is>
      </c>
      <c r="C275" s="20" t="inlineStr">
        <is>
          <t>Plot</t>
        </is>
      </c>
      <c r="D275" s="20" t="inlineStr">
        <is>
          <t>Common</t>
        </is>
      </c>
      <c r="E275" s="20" t="str"/>
      <c r="F275" s="20" t="str"/>
      <c r="G275" s="20" t="str"/>
      <c r="H275" s="20" t="str"/>
      <c r="I275" s="20" t="inlineStr">
        <is>
          <t>Lets you play from your hand a Personality that duplicates one that has been Assassinated. Also requires an action from one group sharing an alignment with that Personality. You automatically control the new card, and the original no longer counts as destroyed for the killer's Goals.</t>
        </is>
      </c>
      <c r="J275" s="20" t="inlineStr">
        <is>
          <t>Needs rules-engine encoding</t>
        </is>
      </c>
      <c r="K275" s="20" t="inlineStr">
        <is>
          <t>High</t>
        </is>
      </c>
      <c r="L275" s="20" t="inlineStr">
        <is>
          <t>Card title printed as 'Impostor'; image file named 'Imposter'.</t>
        </is>
      </c>
      <c r="M275" s="20" t="inlineStr">
        <is>
          <t>https://github.com/Cha0smagick/Virtual-Illuminati-New-World-order-INWO-game</t>
        </is>
      </c>
      <c r="N275" t="inlineStr">
        <is>
          <t>When playing a duplicate of an Assassinated Personality from your hand</t>
        </is>
      </c>
      <c r="O275" t="inlineStr">
        <is>
          <t>A Personality card in your hand matching an Assassinated one</t>
        </is>
      </c>
      <c r="P275" t="inlineStr">
        <is>
          <t>Action of one group sharing an alignment with the Personality</t>
        </is>
      </c>
      <c r="Q275" t="inlineStr">
        <is>
          <t>Permanent</t>
        </is>
      </c>
      <c r="R275" t="inlineStr">
        <is>
          <t>Duplicate Personality enters play under your control automatically; original removed from killer's destroyed-for-Goals count</t>
        </is>
      </c>
      <c r="S275" t="inlineStr">
        <is>
          <t>NO</t>
        </is>
      </c>
      <c r="T275" t="inlineStr">
        <is>
          <t>N/A</t>
        </is>
      </c>
      <c r="U275" t="inlineStr">
        <is>
          <t>N/A</t>
        </is>
      </c>
      <c r="V275" t="inlineStr">
        <is>
          <t>N/A — INWO uses Plots instead of group income/money</t>
        </is>
      </c>
      <c r="W275" t="inlineStr">
        <is>
          <t>N/A</t>
        </is>
      </c>
      <c r="X275" t="inlineStr">
        <is>
          <t>No card-specific limit (base duplicate rules apply)</t>
        </is>
      </c>
      <c r="Y275" t="inlineStr">
        <is>
          <t>A Personality was Assassinated and you hold a duplicate of it</t>
        </is>
      </c>
      <c r="Z275" t="inlineStr">
        <is>
          <t>Standard response window</t>
        </is>
      </c>
      <c r="AA275" t="inlineStr">
        <is>
          <t>Specific card overrides general rules</t>
        </is>
      </c>
      <c r="AB275" t="inlineStr">
        <is>
          <t>Full card scan read; behaviour paraphrased (no card text copied)</t>
        </is>
      </c>
      <c r="AC275" t="inlineStr">
        <is>
          <t>FUNCTIONALLY COMPLETE</t>
        </is>
      </c>
      <c r="AD275" t="inlineStr">
        <is>
          <t>None</t>
        </is>
      </c>
      <c r="AE275" t="inlineStr">
        <is>
          <t>Card scan (GitHub: Cha0smagick/Virtual-Illuminati-New-World-order-INWO-game), read Sep 2026</t>
        </is>
      </c>
      <c r="AF275" t="inlineStr">
        <is>
          <t>N/A</t>
        </is>
      </c>
      <c r="AG275" t="inlineStr">
        <is>
          <t>N/A</t>
        </is>
      </c>
      <c r="AH275" t="inlineStr">
        <is>
          <t>N/A</t>
        </is>
      </c>
      <c r="AI275" t="inlineStr">
        <is>
          <t>N/A</t>
        </is>
      </c>
      <c r="AJ275" t="inlineStr">
        <is>
          <t>N/A</t>
        </is>
      </c>
      <c r="AK275" t="inlineStr">
        <is>
          <t>Official rules: non-Group card types do not use normal Group control-arrow geometry.</t>
        </is>
      </c>
    </row>
    <row r="276" ht="34" customHeight="1" s="16">
      <c r="A276" s="20" t="inlineStr">
        <is>
          <t>Infobahn</t>
        </is>
      </c>
      <c r="B276" s="20" t="inlineStr">
        <is>
          <t>Plot</t>
        </is>
      </c>
      <c r="C276" s="20" t="inlineStr">
        <is>
          <t>Plot</t>
        </is>
      </c>
      <c r="D276" s="20" t="inlineStr">
        <is>
          <t>Common</t>
        </is>
      </c>
      <c r="E276" s="20" t="str"/>
      <c r="F276" s="20" t="str"/>
      <c r="G276" s="20" t="str"/>
      <c r="H276" s="20" t="str"/>
      <c r="I276" s="20" t="inlineStr">
        <is>
          <t>At any time, give one Computer group you control +10 Power or +10 Resistance (your choice). If boosting an action, it must be played when that action is first declared and applies only to that action. If used defensively, the bonus lasts until end of the current turn and does not count toward Goals.</t>
        </is>
      </c>
      <c r="J276" s="20" t="inlineStr">
        <is>
          <t>Needs rules-engine encoding</t>
        </is>
      </c>
      <c r="K276" s="20" t="inlineStr">
        <is>
          <t>High</t>
        </is>
      </c>
      <c r="L276" s="20" t="str"/>
      <c r="M276" s="20" t="inlineStr">
        <is>
          <t>https://github.com/Cha0smagick/Virtual-Illuminati-New-World-order-INWO-game</t>
        </is>
      </c>
      <c r="N276" t="inlineStr">
        <is>
          <t>Play at any time (if with an action, only at the moment the action is declared)</t>
        </is>
      </c>
      <c r="O276" t="inlineStr">
        <is>
          <t>One Computer group you control</t>
        </is>
      </c>
      <c r="P276" t="inlineStr">
        <is>
          <t>None</t>
        </is>
      </c>
      <c r="Q276" t="inlineStr">
        <is>
          <t>Single action (offense) or until end of turn (defense)</t>
        </is>
      </c>
      <c r="R276" t="inlineStr">
        <is>
          <t>+10 Power or +10 Resistance (choose one); defensive bonus ignored for Goals</t>
        </is>
      </c>
      <c r="S276" t="inlineStr">
        <is>
          <t>NO</t>
        </is>
      </c>
      <c r="T276" t="inlineStr">
        <is>
          <t>N/A</t>
        </is>
      </c>
      <c r="U276" t="inlineStr">
        <is>
          <t>N/A</t>
        </is>
      </c>
      <c r="V276" t="inlineStr">
        <is>
          <t>N/A — INWO uses Plots instead of group income/money</t>
        </is>
      </c>
      <c r="W276" t="inlineStr">
        <is>
          <t>N/A</t>
        </is>
      </c>
      <c r="X276" t="inlineStr">
        <is>
          <t>No card-specific limit (base duplicate rules apply)</t>
        </is>
      </c>
      <c r="Y276" t="inlineStr">
        <is>
          <t>You must control a Computer group</t>
        </is>
      </c>
      <c r="Z276" t="inlineStr">
        <is>
          <t>Standard response window</t>
        </is>
      </c>
      <c r="AA276" t="inlineStr">
        <is>
          <t>Specific card overrides general rules</t>
        </is>
      </c>
      <c r="AB276" t="inlineStr">
        <is>
          <t>Full card scan read; behaviour paraphrased (no card text copied)</t>
        </is>
      </c>
      <c r="AC276" t="inlineStr">
        <is>
          <t>FUNCTIONALLY COMPLETE</t>
        </is>
      </c>
      <c r="AD276" t="inlineStr">
        <is>
          <t>None</t>
        </is>
      </c>
      <c r="AE276" t="inlineStr">
        <is>
          <t>Card scan (GitHub: Cha0smagick/Virtual-Illuminati-New-World-order-INWO-game), read Sep 2026</t>
        </is>
      </c>
      <c r="AF276" t="inlineStr">
        <is>
          <t>N/A</t>
        </is>
      </c>
      <c r="AG276" t="inlineStr">
        <is>
          <t>N/A</t>
        </is>
      </c>
      <c r="AH276" t="inlineStr">
        <is>
          <t>N/A</t>
        </is>
      </c>
      <c r="AI276" t="inlineStr">
        <is>
          <t>N/A</t>
        </is>
      </c>
      <c r="AJ276" t="inlineStr">
        <is>
          <t>N/A</t>
        </is>
      </c>
      <c r="AK276" t="inlineStr">
        <is>
          <t>Official rules: non-Group card types do not use normal Group control-arrow geometry.</t>
        </is>
      </c>
    </row>
    <row r="277" ht="34" customHeight="1" s="16">
      <c r="A277" s="20" t="inlineStr">
        <is>
          <t>Interference</t>
        </is>
      </c>
      <c r="B277" s="20" t="inlineStr">
        <is>
          <t>Plot</t>
        </is>
      </c>
      <c r="C277" s="20" t="inlineStr">
        <is>
          <t>Plot</t>
        </is>
      </c>
      <c r="D277" s="20" t="inlineStr">
        <is>
          <t>Common</t>
        </is>
      </c>
      <c r="E277" s="20" t="str"/>
      <c r="F277" s="20" t="str"/>
      <c r="G277" s="20" t="str"/>
      <c r="H277" s="20" t="str"/>
      <c r="I277" s="20" t="inlineStr">
        <is>
          <t>You may interfere on either side of a privileged attack. Others still cannot interfere unless their own Plots or special abilities permit it. The card costs nothing to play, but every interfering group uses its action.</t>
        </is>
      </c>
      <c r="J277" s="20" t="inlineStr">
        <is>
          <t>Needs rules-engine encoding</t>
        </is>
      </c>
      <c r="K277" s="20" t="inlineStr">
        <is>
          <t>High</t>
        </is>
      </c>
      <c r="L277" s="20" t="str"/>
      <c r="M277" s="20" t="inlineStr">
        <is>
          <t>https://github.com/Cha0smagick/Virtual-Illuminati-New-World-order-INWO-game</t>
        </is>
      </c>
      <c r="N277" t="inlineStr">
        <is>
          <t>During a privileged attack</t>
        </is>
      </c>
      <c r="O277" t="inlineStr">
        <is>
          <t>A privileged attack (attacker or defender side)</t>
        </is>
      </c>
      <c r="P277" t="inlineStr">
        <is>
          <t>None to play; each interfering group spends its action</t>
        </is>
      </c>
      <c r="Q277" t="inlineStr">
        <is>
          <t>Current attack</t>
        </is>
      </c>
      <c r="R277" t="inlineStr">
        <is>
          <t>You may interfere (aid/oppose) in a privileged attack</t>
        </is>
      </c>
      <c r="S277" t="inlineStr">
        <is>
          <t>NO</t>
        </is>
      </c>
      <c r="T277" t="inlineStr">
        <is>
          <t>N/A</t>
        </is>
      </c>
      <c r="U277" t="inlineStr">
        <is>
          <t>N/A</t>
        </is>
      </c>
      <c r="V277" t="inlineStr">
        <is>
          <t>N/A — INWO uses Plots instead of group income/money</t>
        </is>
      </c>
      <c r="W277" t="inlineStr">
        <is>
          <t>N/A</t>
        </is>
      </c>
      <c r="X277" t="inlineStr">
        <is>
          <t>No card-specific limit (base duplicate rules apply)</t>
        </is>
      </c>
      <c r="Y277" t="inlineStr">
        <is>
          <t>A privileged attack is in progress</t>
        </is>
      </c>
      <c r="Z277" t="inlineStr">
        <is>
          <t>Standard response window</t>
        </is>
      </c>
      <c r="AA277" t="inlineStr">
        <is>
          <t>Specific card overrides general rules</t>
        </is>
      </c>
      <c r="AB277" t="inlineStr">
        <is>
          <t>Full card scan read; behaviour paraphrased (no card text copied)</t>
        </is>
      </c>
      <c r="AC277" t="inlineStr">
        <is>
          <t>FUNCTIONALLY COMPLETE</t>
        </is>
      </c>
      <c r="AD277" t="inlineStr">
        <is>
          <t>None</t>
        </is>
      </c>
      <c r="AE277" t="inlineStr">
        <is>
          <t>Card scan (GitHub: Cha0smagick/Virtual-Illuminati-New-World-order-INWO-game), read Sep 2026</t>
        </is>
      </c>
      <c r="AF277" t="inlineStr">
        <is>
          <t>N/A</t>
        </is>
      </c>
      <c r="AG277" t="inlineStr">
        <is>
          <t>N/A</t>
        </is>
      </c>
      <c r="AH277" t="inlineStr">
        <is>
          <t>N/A</t>
        </is>
      </c>
      <c r="AI277" t="inlineStr">
        <is>
          <t>N/A</t>
        </is>
      </c>
      <c r="AJ277" t="inlineStr">
        <is>
          <t>N/A</t>
        </is>
      </c>
      <c r="AK277" t="inlineStr">
        <is>
          <t>Official rules: non-Group card types do not use normal Group control-arrow geometry.</t>
        </is>
      </c>
    </row>
    <row r="278" ht="34" customHeight="1" s="16">
      <c r="A278" s="20" t="inlineStr">
        <is>
          <t>Jake Day</t>
        </is>
      </c>
      <c r="B278" s="20" t="inlineStr">
        <is>
          <t>Plot</t>
        </is>
      </c>
      <c r="C278" s="20" t="inlineStr">
        <is>
          <t>Plot</t>
        </is>
      </c>
      <c r="D278" s="20" t="inlineStr">
        <is>
          <t>Common</t>
        </is>
      </c>
      <c r="E278" s="20" t="str"/>
      <c r="F278" s="20" t="str"/>
      <c r="G278" s="20" t="str"/>
      <c r="H278" s="20" t="str"/>
      <c r="I278" s="20" t="inlineStr">
        <is>
          <t>Pick a target group. Pay with an action by your Illuminati, or actions by Weird group(s) whose combined Power equals the target's Resistance (doubled if the target is currently Straight); if the target belongs to a rival, also add the usual bonuses for its closeness to that rival's Illuminati. The target permanently gains the Weird alignment; if it was Straight, it loses Straight. This card stays in play linked to the target.</t>
        </is>
      </c>
      <c r="J278" s="20" t="inlineStr">
        <is>
          <t>Needs rules-engine encoding</t>
        </is>
      </c>
      <c r="K278" s="20" t="inlineStr">
        <is>
          <t>High</t>
        </is>
      </c>
      <c r="L278" s="20" t="inlineStr">
        <is>
          <t>No roll is described; the effect appears automatic once the action cost is paid.</t>
        </is>
      </c>
      <c r="M278" s="20" t="inlineStr">
        <is>
          <t>https://github.com/Cha0smagick/Virtual-Illuminati-New-World-order-INWO-game</t>
        </is>
      </c>
      <c r="N278" t="inlineStr">
        <is>
          <t>Play at any time</t>
        </is>
      </c>
      <c r="O278" t="inlineStr">
        <is>
          <t>Any group (yours or a rival's)</t>
        </is>
      </c>
      <c r="P278" t="inlineStr">
        <is>
          <t>Illuminati action, OR action(s) of Weird group(s) with total Power &gt;= target Resistance (x2 if target is Straight; + closeness-to-Illuminati bonus if rival-owned)</t>
        </is>
      </c>
      <c r="Q278" t="inlineStr">
        <is>
          <t>Permanent while linked</t>
        </is>
      </c>
      <c r="R278" t="inlineStr">
        <is>
          <t>Target gains Weird; removes Straight if present</t>
        </is>
      </c>
      <c r="S278" t="inlineStr">
        <is>
          <t>NO</t>
        </is>
      </c>
      <c r="T278" t="inlineStr">
        <is>
          <t>N/A</t>
        </is>
      </c>
      <c r="U278" t="inlineStr">
        <is>
          <t>N/A</t>
        </is>
      </c>
      <c r="V278" t="inlineStr">
        <is>
          <t>N/A — INWO uses Plots instead of group income/money</t>
        </is>
      </c>
      <c r="W278" t="inlineStr">
        <is>
          <t>N/A</t>
        </is>
      </c>
      <c r="X278" t="inlineStr">
        <is>
          <t>No card-specific limit (base duplicate rules apply)</t>
        </is>
      </c>
      <c r="Y278" t="inlineStr">
        <is>
          <t>Required Power from Weird groups (or Illuminati action) as described</t>
        </is>
      </c>
      <c r="Z278" t="inlineStr">
        <is>
          <t>Standard response window</t>
        </is>
      </c>
      <c r="AA278" t="inlineStr">
        <is>
          <t>Specific card overrides general rules</t>
        </is>
      </c>
      <c r="AB278" t="inlineStr">
        <is>
          <t>Full card scan read; behaviour paraphrased (no card text copied)</t>
        </is>
      </c>
      <c r="AC278" t="inlineStr">
        <is>
          <t>FUNCTIONALLY COMPLETE</t>
        </is>
      </c>
      <c r="AD278" t="inlineStr">
        <is>
          <t>None</t>
        </is>
      </c>
      <c r="AE278" t="inlineStr">
        <is>
          <t>Card scan (GitHub: Cha0smagick/Virtual-Illuminati-New-World-order-INWO-game), read Sep 2026</t>
        </is>
      </c>
      <c r="AF278" t="inlineStr">
        <is>
          <t>N/A</t>
        </is>
      </c>
      <c r="AG278" t="inlineStr">
        <is>
          <t>N/A</t>
        </is>
      </c>
      <c r="AH278" t="inlineStr">
        <is>
          <t>N/A</t>
        </is>
      </c>
      <c r="AI278" t="inlineStr">
        <is>
          <t>N/A</t>
        </is>
      </c>
      <c r="AJ278" t="inlineStr">
        <is>
          <t>N/A</t>
        </is>
      </c>
      <c r="AK278" t="inlineStr">
        <is>
          <t>Official rules: non-Group card types do not use normal Group control-arrow geometry.</t>
        </is>
      </c>
    </row>
    <row r="279" ht="34" customHeight="1" s="16">
      <c r="A279" s="20" t="inlineStr">
        <is>
          <t>Jihad</t>
        </is>
      </c>
      <c r="B279" s="20" t="inlineStr">
        <is>
          <t>Plot</t>
        </is>
      </c>
      <c r="C279" s="20" t="inlineStr">
        <is>
          <t>Plot</t>
        </is>
      </c>
      <c r="D279" s="20" t="inlineStr">
        <is>
          <t>Common</t>
        </is>
      </c>
      <c r="E279" s="20" t="str"/>
      <c r="F279" s="20" t="str"/>
      <c r="G279" s="20" t="str"/>
      <c r="H279" s="20" t="str"/>
      <c r="I279" s="20" t="inlineStr">
        <is>
          <t>At any time, give one Fanatic group you control +10 Power or +10 Resistance (your choice). If boosting an action, it must be played when that action is first declared and applies only to that action. If used defensively, the bonus lasts until end of the current turn and does not count toward Goals.</t>
        </is>
      </c>
      <c r="J279" s="20" t="inlineStr">
        <is>
          <t>Needs rules-engine encoding</t>
        </is>
      </c>
      <c r="K279" s="20" t="inlineStr">
        <is>
          <t>High</t>
        </is>
      </c>
      <c r="L279" s="20" t="str"/>
      <c r="M279" s="20" t="inlineStr">
        <is>
          <t>https://github.com/Cha0smagick/Virtual-Illuminati-New-World-order-INWO-game</t>
        </is>
      </c>
      <c r="N279" t="inlineStr">
        <is>
          <t>Play at any time (if with an action, only at the moment the action is declared)</t>
        </is>
      </c>
      <c r="O279" t="inlineStr">
        <is>
          <t>One Fanatic group you control</t>
        </is>
      </c>
      <c r="P279" t="inlineStr">
        <is>
          <t>None</t>
        </is>
      </c>
      <c r="Q279" t="inlineStr">
        <is>
          <t>Single action (offense) or until end of turn (defense)</t>
        </is>
      </c>
      <c r="R279" t="inlineStr">
        <is>
          <t>+10 Power or +10 Resistance (choose one); defensive bonus ignored for Goals</t>
        </is>
      </c>
      <c r="S279" t="inlineStr">
        <is>
          <t>NO</t>
        </is>
      </c>
      <c r="T279" t="inlineStr">
        <is>
          <t>N/A</t>
        </is>
      </c>
      <c r="U279" t="inlineStr">
        <is>
          <t>N/A</t>
        </is>
      </c>
      <c r="V279" t="inlineStr">
        <is>
          <t>N/A — INWO uses Plots instead of group income/money</t>
        </is>
      </c>
      <c r="W279" t="inlineStr">
        <is>
          <t>N/A</t>
        </is>
      </c>
      <c r="X279" t="inlineStr">
        <is>
          <t>No card-specific limit (base duplicate rules apply)</t>
        </is>
      </c>
      <c r="Y279" t="inlineStr">
        <is>
          <t>You must control a Fanatic group</t>
        </is>
      </c>
      <c r="Z279" t="inlineStr">
        <is>
          <t>Standard response window</t>
        </is>
      </c>
      <c r="AA279" t="inlineStr">
        <is>
          <t>Specific card overrides general rules</t>
        </is>
      </c>
      <c r="AB279" t="inlineStr">
        <is>
          <t>Full card scan read; behaviour paraphrased (no card text copied)</t>
        </is>
      </c>
      <c r="AC279" t="inlineStr">
        <is>
          <t>FUNCTIONALLY COMPLETE</t>
        </is>
      </c>
      <c r="AD279" t="inlineStr">
        <is>
          <t>None</t>
        </is>
      </c>
      <c r="AE279" t="inlineStr">
        <is>
          <t>Card scan (GitHub: Cha0smagick/Virtual-Illuminati-New-World-order-INWO-game), read Sep 2026</t>
        </is>
      </c>
      <c r="AF279" t="inlineStr">
        <is>
          <t>N/A</t>
        </is>
      </c>
      <c r="AG279" t="inlineStr">
        <is>
          <t>N/A</t>
        </is>
      </c>
      <c r="AH279" t="inlineStr">
        <is>
          <t>N/A</t>
        </is>
      </c>
      <c r="AI279" t="inlineStr">
        <is>
          <t>N/A</t>
        </is>
      </c>
      <c r="AJ279" t="inlineStr">
        <is>
          <t>N/A</t>
        </is>
      </c>
      <c r="AK279" t="inlineStr">
        <is>
          <t>Official rules: non-Group card types do not use normal Group control-arrow geometry.</t>
        </is>
      </c>
    </row>
    <row r="280" ht="34" customHeight="1" s="16">
      <c r="A280" s="20" t="inlineStr">
        <is>
          <t>Just Say No</t>
        </is>
      </c>
      <c r="B280" s="20" t="inlineStr">
        <is>
          <t>Plot</t>
        </is>
      </c>
      <c r="C280" s="20" t="inlineStr">
        <is>
          <t>Plot</t>
        </is>
      </c>
      <c r="D280" s="20" t="inlineStr">
        <is>
          <t>Common</t>
        </is>
      </c>
      <c r="E280" s="20" t="str"/>
      <c r="F280" s="20" t="str"/>
      <c r="G280" s="20" t="str"/>
      <c r="H280" s="20" t="str"/>
      <c r="I280" s="20" t="inlineStr">
        <is>
          <t>At any time, give one Straight group you control +10 Power or +10 Resistance (your choice). If boosting an action, it must be played when that action is first declared and applies only to that action. If used defensively, the bonus lasts until end of the current turn and does not count toward Goals.</t>
        </is>
      </c>
      <c r="J280" s="20" t="inlineStr">
        <is>
          <t>Needs rules-engine encoding</t>
        </is>
      </c>
      <c r="K280" s="20" t="inlineStr">
        <is>
          <t>High</t>
        </is>
      </c>
      <c r="L280" s="20" t="str"/>
      <c r="M280" s="20" t="inlineStr">
        <is>
          <t>https://github.com/Cha0smagick/Virtual-Illuminati-New-World-order-INWO-game</t>
        </is>
      </c>
      <c r="N280" t="inlineStr">
        <is>
          <t>Play at any time (if with an action, only at the moment the action is declared)</t>
        </is>
      </c>
      <c r="O280" t="inlineStr">
        <is>
          <t>One Straight group you control</t>
        </is>
      </c>
      <c r="P280" t="inlineStr">
        <is>
          <t>None</t>
        </is>
      </c>
      <c r="Q280" t="inlineStr">
        <is>
          <t>Single action (offense) or until end of turn (defense)</t>
        </is>
      </c>
      <c r="R280" t="inlineStr">
        <is>
          <t>+10 Power or +10 Resistance (choose one); defensive bonus ignored for Goals</t>
        </is>
      </c>
      <c r="S280" t="inlineStr">
        <is>
          <t>NO</t>
        </is>
      </c>
      <c r="T280" t="inlineStr">
        <is>
          <t>N/A</t>
        </is>
      </c>
      <c r="U280" t="inlineStr">
        <is>
          <t>N/A</t>
        </is>
      </c>
      <c r="V280" t="inlineStr">
        <is>
          <t>N/A — INWO uses Plots instead of group income/money</t>
        </is>
      </c>
      <c r="W280" t="inlineStr">
        <is>
          <t>N/A</t>
        </is>
      </c>
      <c r="X280" t="inlineStr">
        <is>
          <t>No card-specific limit (base duplicate rules apply)</t>
        </is>
      </c>
      <c r="Y280" t="inlineStr">
        <is>
          <t>You must control a Straight group</t>
        </is>
      </c>
      <c r="Z280" t="inlineStr">
        <is>
          <t>Standard response window</t>
        </is>
      </c>
      <c r="AA280" t="inlineStr">
        <is>
          <t>Specific card overrides general rules</t>
        </is>
      </c>
      <c r="AB280" t="inlineStr">
        <is>
          <t>Full card scan read; behaviour paraphrased (no card text copied)</t>
        </is>
      </c>
      <c r="AC280" t="inlineStr">
        <is>
          <t>FUNCTIONALLY COMPLETE</t>
        </is>
      </c>
      <c r="AD280" t="inlineStr">
        <is>
          <t>None</t>
        </is>
      </c>
      <c r="AE280" t="inlineStr">
        <is>
          <t>Card scan (GitHub: Cha0smagick/Virtual-Illuminati-New-World-order-INWO-game), read Sep 2026</t>
        </is>
      </c>
      <c r="AF280" t="inlineStr">
        <is>
          <t>N/A</t>
        </is>
      </c>
      <c r="AG280" t="inlineStr">
        <is>
          <t>N/A</t>
        </is>
      </c>
      <c r="AH280" t="inlineStr">
        <is>
          <t>N/A</t>
        </is>
      </c>
      <c r="AI280" t="inlineStr">
        <is>
          <t>N/A</t>
        </is>
      </c>
      <c r="AJ280" t="inlineStr">
        <is>
          <t>N/A</t>
        </is>
      </c>
      <c r="AK280" t="inlineStr">
        <is>
          <t>Official rules: non-Group card types do not use normal Group control-arrow geometry.</t>
        </is>
      </c>
    </row>
    <row r="281" ht="34" customHeight="1" s="16">
      <c r="A281" s="20" t="inlineStr">
        <is>
          <t>Ketchup is a Vegetable</t>
        </is>
      </c>
      <c r="B281" s="20" t="inlineStr">
        <is>
          <t>Plot</t>
        </is>
      </c>
      <c r="C281" s="20" t="inlineStr">
        <is>
          <t>Plot</t>
        </is>
      </c>
      <c r="D281" s="20" t="inlineStr">
        <is>
          <t>Common</t>
        </is>
      </c>
      <c r="E281" s="20" t="str"/>
      <c r="F281" s="20" t="str"/>
      <c r="G281" s="20" t="str"/>
      <c r="H281" s="20" t="str"/>
      <c r="I281" s="20" t="inlineStr">
        <is>
          <t>Play together with any Attack to Destroy against a Government group. That attack becomes Privileged and gains +5.</t>
        </is>
      </c>
      <c r="J281" s="20" t="inlineStr">
        <is>
          <t>Needs rules-engine encoding</t>
        </is>
      </c>
      <c r="K281" s="20" t="inlineStr">
        <is>
          <t>High</t>
        </is>
      </c>
      <c r="L281" s="20" t="str"/>
      <c r="M281" s="20" t="inlineStr">
        <is>
          <t>https://github.com/Cha0smagick/Virtual-Illuminati-New-World-order-INWO-game</t>
        </is>
      </c>
      <c r="N281" t="inlineStr">
        <is>
          <t>When declaring an Attack to Destroy</t>
        </is>
      </c>
      <c r="O281" t="inlineStr">
        <is>
          <t>An Attack to Destroy against a Government group</t>
        </is>
      </c>
      <c r="P281" t="inlineStr">
        <is>
          <t>None</t>
        </is>
      </c>
      <c r="Q281" t="inlineStr">
        <is>
          <t>That attack</t>
        </is>
      </c>
      <c r="R281" t="inlineStr">
        <is>
          <t>Attack becomes Privileged; +5 to attack</t>
        </is>
      </c>
      <c r="S281" t="inlineStr">
        <is>
          <t>NO</t>
        </is>
      </c>
      <c r="T281" t="inlineStr">
        <is>
          <t>N/A</t>
        </is>
      </c>
      <c r="U281" t="inlineStr">
        <is>
          <t>N/A</t>
        </is>
      </c>
      <c r="V281" t="inlineStr">
        <is>
          <t>N/A — INWO uses Plots instead of group income/money</t>
        </is>
      </c>
      <c r="W281" t="inlineStr">
        <is>
          <t>N/A</t>
        </is>
      </c>
      <c r="X281" t="inlineStr">
        <is>
          <t>No card-specific limit (base duplicate rules apply)</t>
        </is>
      </c>
      <c r="Y281" t="inlineStr">
        <is>
          <t>Attack must be an Attack to Destroy targeting a Government group</t>
        </is>
      </c>
      <c r="Z281" t="inlineStr">
        <is>
          <t>Standard response window</t>
        </is>
      </c>
      <c r="AA281" t="inlineStr">
        <is>
          <t>Specific card overrides general rules</t>
        </is>
      </c>
      <c r="AB281" t="inlineStr">
        <is>
          <t>Full card scan read; behaviour paraphrased (no card text copied)</t>
        </is>
      </c>
      <c r="AC281" t="inlineStr">
        <is>
          <t>FUNCTIONALLY COMPLETE</t>
        </is>
      </c>
      <c r="AD281" t="inlineStr">
        <is>
          <t>None</t>
        </is>
      </c>
      <c r="AE281" t="inlineStr">
        <is>
          <t>Card scan (GitHub: Cha0smagick/Virtual-Illuminati-New-World-order-INWO-game), read Sep 2026</t>
        </is>
      </c>
      <c r="AF281" t="inlineStr">
        <is>
          <t>N/A</t>
        </is>
      </c>
      <c r="AG281" t="inlineStr">
        <is>
          <t>N/A</t>
        </is>
      </c>
      <c r="AH281" t="inlineStr">
        <is>
          <t>N/A</t>
        </is>
      </c>
      <c r="AI281" t="inlineStr">
        <is>
          <t>N/A</t>
        </is>
      </c>
      <c r="AJ281" t="inlineStr">
        <is>
          <t>N/A</t>
        </is>
      </c>
      <c r="AK281" t="inlineStr">
        <is>
          <t>Official rules: non-Group card types do not use normal Group control-arrow geometry.</t>
        </is>
      </c>
    </row>
    <row r="282" ht="34" customHeight="1" s="16">
      <c r="A282" s="20" t="inlineStr">
        <is>
          <t>Kinder and Gentler</t>
        </is>
      </c>
      <c r="B282" s="20" t="inlineStr">
        <is>
          <t>Plot</t>
        </is>
      </c>
      <c r="C282" s="20" t="inlineStr">
        <is>
          <t>Plot</t>
        </is>
      </c>
      <c r="D282" s="20" t="inlineStr">
        <is>
          <t>Common</t>
        </is>
      </c>
      <c r="E282" s="20" t="str"/>
      <c r="F282" s="20" t="str"/>
      <c r="G282" s="20" t="str"/>
      <c r="H282" s="20" t="str"/>
      <c r="I282" s="20" t="inlineStr">
        <is>
          <t>Pick a target group. Pay with an action by your Illuminati, or actions by Peaceful group(s) whose combined Power equals the target's Resistance (doubled if the target is currently Violent); if the target belongs to a rival, also add the usual bonuses for its closeness to that rival's Illuminati. The target permanently gains the Peaceful alignment; if it was Violent, it loses Violent. This card stays in play linked to the target.</t>
        </is>
      </c>
      <c r="J282" s="20" t="inlineStr">
        <is>
          <t>Needs rules-engine encoding</t>
        </is>
      </c>
      <c r="K282" s="20" t="inlineStr">
        <is>
          <t>High</t>
        </is>
      </c>
      <c r="L282" s="20" t="inlineStr">
        <is>
          <t>No roll is described; the effect appears automatic once the action cost is paid.</t>
        </is>
      </c>
      <c r="M282" s="20" t="inlineStr">
        <is>
          <t>https://github.com/Cha0smagick/Virtual-Illuminati-New-World-order-INWO-game</t>
        </is>
      </c>
      <c r="N282" t="inlineStr">
        <is>
          <t>Play at any time</t>
        </is>
      </c>
      <c r="O282" t="inlineStr">
        <is>
          <t>Any group (yours or a rival's)</t>
        </is>
      </c>
      <c r="P282" t="inlineStr">
        <is>
          <t>Illuminati action, OR action(s) of Peaceful group(s) with total Power &gt;= target Resistance (x2 if target is Violent; + closeness-to-Illuminati bonus if rival-owned)</t>
        </is>
      </c>
      <c r="Q282" t="inlineStr">
        <is>
          <t>Permanent while linked</t>
        </is>
      </c>
      <c r="R282" t="inlineStr">
        <is>
          <t>Target gains Peaceful; removes Violent if present</t>
        </is>
      </c>
      <c r="S282" t="inlineStr">
        <is>
          <t>NO</t>
        </is>
      </c>
      <c r="T282" t="inlineStr">
        <is>
          <t>N/A</t>
        </is>
      </c>
      <c r="U282" t="inlineStr">
        <is>
          <t>N/A</t>
        </is>
      </c>
      <c r="V282" t="inlineStr">
        <is>
          <t>N/A — INWO uses Plots instead of group income/money</t>
        </is>
      </c>
      <c r="W282" t="inlineStr">
        <is>
          <t>N/A</t>
        </is>
      </c>
      <c r="X282" t="inlineStr">
        <is>
          <t>No card-specific limit (base duplicate rules apply)</t>
        </is>
      </c>
      <c r="Y282" t="inlineStr">
        <is>
          <t>Required Power from Peaceful groups (or Illuminati action) as described</t>
        </is>
      </c>
      <c r="Z282" t="inlineStr">
        <is>
          <t>Standard response window</t>
        </is>
      </c>
      <c r="AA282" t="inlineStr">
        <is>
          <t>Specific card overrides general rules</t>
        </is>
      </c>
      <c r="AB282" t="inlineStr">
        <is>
          <t>Full card scan read; behaviour paraphrased (no card text copied)</t>
        </is>
      </c>
      <c r="AC282" t="inlineStr">
        <is>
          <t>FUNCTIONALLY COMPLETE</t>
        </is>
      </c>
      <c r="AD282" t="inlineStr">
        <is>
          <t>None</t>
        </is>
      </c>
      <c r="AE282" t="inlineStr">
        <is>
          <t>Card scan (GitHub: Cha0smagick/Virtual-Illuminati-New-World-order-INWO-game), read Sep 2026</t>
        </is>
      </c>
      <c r="AF282" t="inlineStr">
        <is>
          <t>N/A</t>
        </is>
      </c>
      <c r="AG282" t="inlineStr">
        <is>
          <t>N/A</t>
        </is>
      </c>
      <c r="AH282" t="inlineStr">
        <is>
          <t>N/A</t>
        </is>
      </c>
      <c r="AI282" t="inlineStr">
        <is>
          <t>N/A</t>
        </is>
      </c>
      <c r="AJ282" t="inlineStr">
        <is>
          <t>N/A</t>
        </is>
      </c>
      <c r="AK282" t="inlineStr">
        <is>
          <t>Official rules: non-Group card types do not use normal Group control-arrow geometry.</t>
        </is>
      </c>
    </row>
    <row r="283" ht="34" customHeight="1" s="16">
      <c r="A283" s="20" t="inlineStr">
        <is>
          <t>Let's Get Organized</t>
        </is>
      </c>
      <c r="B283" s="20" t="inlineStr">
        <is>
          <t>Plot</t>
        </is>
      </c>
      <c r="C283" s="20" t="inlineStr">
        <is>
          <t>Plot</t>
        </is>
      </c>
      <c r="D283" s="20" t="inlineStr">
        <is>
          <t>Common</t>
        </is>
      </c>
      <c r="E283" s="20" t="str"/>
      <c r="F283" s="20" t="str"/>
      <c r="G283" s="20" t="str"/>
      <c r="H283" s="20" t="str"/>
      <c r="I283" s="20" t="inlineStr">
        <is>
          <t>Play during your turn on a group you control that has fewer than 3 outgoing control arrows; this uses an action of that group or its master. The group gains one extra outgoing control arrow on an end or side; place this card under it with an arrow showing. Duplicates of this card cannot be used on the same group.</t>
        </is>
      </c>
      <c r="J283" s="20" t="inlineStr">
        <is>
          <t>Needs rules-engine encoding</t>
        </is>
      </c>
      <c r="K283" s="20" t="inlineStr">
        <is>
          <t>High</t>
        </is>
      </c>
      <c r="L283" s="20" t="str"/>
      <c r="M283" s="20" t="inlineStr">
        <is>
          <t>https://github.com/Cha0smagick/Virtual-Illuminati-New-World-order-INWO-game</t>
        </is>
      </c>
      <c r="N283" t="inlineStr">
        <is>
          <t>Your turn, as an action</t>
        </is>
      </c>
      <c r="O283" t="inlineStr">
        <is>
          <t>One group you control with fewer than 3 outgoing control arrows</t>
        </is>
      </c>
      <c r="P283" t="inlineStr">
        <is>
          <t>Action of the target group or its master</t>
        </is>
      </c>
      <c r="Q283" t="inlineStr">
        <is>
          <t>Permanent while attached</t>
        </is>
      </c>
      <c r="R283" t="inlineStr">
        <is>
          <t>+1 outgoing control arrow (end or side)</t>
        </is>
      </c>
      <c r="S283" t="inlineStr">
        <is>
          <t>NO</t>
        </is>
      </c>
      <c r="T283" t="inlineStr">
        <is>
          <t>N/A</t>
        </is>
      </c>
      <c r="U283" t="inlineStr">
        <is>
          <t>N/A</t>
        </is>
      </c>
      <c r="V283" t="inlineStr">
        <is>
          <t>N/A — INWO uses Plots instead of group income/money</t>
        </is>
      </c>
      <c r="W283" t="inlineStr">
        <is>
          <t>N/A</t>
        </is>
      </c>
      <c r="X283" t="inlineStr">
        <is>
          <t>Two copies can never be applied to one group</t>
        </is>
      </c>
      <c r="Y283" t="inlineStr">
        <is>
          <t>Your turn; you control the target; target has &lt;3 outgoing arrows</t>
        </is>
      </c>
      <c r="Z283" t="inlineStr">
        <is>
          <t>Standard response window</t>
        </is>
      </c>
      <c r="AA283" t="inlineStr">
        <is>
          <t>Specific card overrides general rules</t>
        </is>
      </c>
      <c r="AB283" t="inlineStr">
        <is>
          <t>Full card scan read; behaviour paraphrased (no card text copied)</t>
        </is>
      </c>
      <c r="AC283" t="inlineStr">
        <is>
          <t>FUNCTIONALLY COMPLETE</t>
        </is>
      </c>
      <c r="AD283" t="inlineStr">
        <is>
          <t>None</t>
        </is>
      </c>
      <c r="AE283" t="inlineStr">
        <is>
          <t>Card scan (GitHub: Cha0smagick/Virtual-Illuminati-New-World-order-INWO-game), read Sep 2026</t>
        </is>
      </c>
      <c r="AF283" t="inlineStr">
        <is>
          <t>N/A</t>
        </is>
      </c>
      <c r="AG283" t="inlineStr">
        <is>
          <t>N/A</t>
        </is>
      </c>
      <c r="AH283" t="inlineStr">
        <is>
          <t>N/A</t>
        </is>
      </c>
      <c r="AI283" t="inlineStr">
        <is>
          <t>N/A</t>
        </is>
      </c>
      <c r="AJ283" t="inlineStr">
        <is>
          <t>N/A</t>
        </is>
      </c>
      <c r="AK283" t="inlineStr">
        <is>
          <t>Official rules: non-Group card types do not use normal Group control-arrow geometry.</t>
        </is>
      </c>
    </row>
    <row r="284" ht="34" customHeight="1" s="16">
      <c r="A284" s="20" t="inlineStr">
        <is>
          <t>Let's Get REALLY Organized</t>
        </is>
      </c>
      <c r="B284" s="20" t="inlineStr">
        <is>
          <t>Plot</t>
        </is>
      </c>
      <c r="C284" s="20" t="inlineStr">
        <is>
          <t>Plot</t>
        </is>
      </c>
      <c r="D284" s="20" t="inlineStr">
        <is>
          <t>Uncommon</t>
        </is>
      </c>
      <c r="E284" s="20" t="str"/>
      <c r="F284" s="20" t="str"/>
      <c r="G284" s="20" t="str"/>
      <c r="H284" s="20" t="str"/>
      <c r="I284" s="20" t="inlineStr">
        <is>
          <t>Play on your turn on a group of yours with one or two outgoing control arrows, spending the action of that group or its master. It then has three outgoing control arrows; tuck this card beneath it or link it to mark the extra arrows.</t>
        </is>
      </c>
      <c r="J284" s="20" t="inlineStr">
        <is>
          <t>Needs rules-engine encoding</t>
        </is>
      </c>
      <c r="K284" s="20" t="inlineStr">
        <is>
          <t>High</t>
        </is>
      </c>
      <c r="L284" s="20" t="str"/>
      <c r="M284" s="20" t="inlineStr">
        <is>
          <t>https://github.com/Cha0smagick/Virtual-Illuminati-New-World-order-INWO-game</t>
        </is>
      </c>
      <c r="N284" t="inlineStr">
        <is>
          <t>Your turn, as an action</t>
        </is>
      </c>
      <c r="O284" t="inlineStr">
        <is>
          <t>One group you control with 1 or 2 outgoing control arrows</t>
        </is>
      </c>
      <c r="P284" t="inlineStr">
        <is>
          <t>Action of the target group or its master</t>
        </is>
      </c>
      <c r="Q284" t="inlineStr">
        <is>
          <t>Permanent while attached</t>
        </is>
      </c>
      <c r="R284" t="inlineStr">
        <is>
          <t>Target's outgoing control arrows set to 3</t>
        </is>
      </c>
      <c r="S284" t="inlineStr">
        <is>
          <t>NO</t>
        </is>
      </c>
      <c r="T284" t="inlineStr">
        <is>
          <t>N/A</t>
        </is>
      </c>
      <c r="U284" t="inlineStr">
        <is>
          <t>N/A</t>
        </is>
      </c>
      <c r="V284" t="inlineStr">
        <is>
          <t>N/A — INWO uses Plots instead of group income/money</t>
        </is>
      </c>
      <c r="W284" t="inlineStr">
        <is>
          <t>N/A</t>
        </is>
      </c>
      <c r="X284" t="inlineStr">
        <is>
          <t>No card-specific limit (base duplicate rules apply)</t>
        </is>
      </c>
      <c r="Y284" t="inlineStr">
        <is>
          <t>Your turn; you control the target; target has 1 or 2 outgoing arrows</t>
        </is>
      </c>
      <c r="Z284" t="inlineStr">
        <is>
          <t>Standard response window</t>
        </is>
      </c>
      <c r="AA284" t="inlineStr">
        <is>
          <t>Specific card overrides general rules</t>
        </is>
      </c>
      <c r="AB284" t="inlineStr">
        <is>
          <t>Full card scan read; behaviour paraphrased (no card text copied)</t>
        </is>
      </c>
      <c r="AC284" t="inlineStr">
        <is>
          <t>FUNCTIONALLY COMPLETE</t>
        </is>
      </c>
      <c r="AD284" t="inlineStr">
        <is>
          <t>None</t>
        </is>
      </c>
      <c r="AE284" t="inlineStr">
        <is>
          <t>Card scan (GitHub: Cha0smagick/Virtual-Illuminati-New-World-order-INWO-game), read Sep 2026</t>
        </is>
      </c>
      <c r="AF284" t="inlineStr">
        <is>
          <t>N/A</t>
        </is>
      </c>
      <c r="AG284" t="inlineStr">
        <is>
          <t>N/A</t>
        </is>
      </c>
      <c r="AH284" t="inlineStr">
        <is>
          <t>N/A</t>
        </is>
      </c>
      <c r="AI284" t="inlineStr">
        <is>
          <t>N/A</t>
        </is>
      </c>
      <c r="AJ284" t="inlineStr">
        <is>
          <t>N/A</t>
        </is>
      </c>
      <c r="AK284" t="inlineStr">
        <is>
          <t>Official rules: non-Group card types do not use normal Group control-arrow geometry.</t>
        </is>
      </c>
    </row>
    <row r="285" ht="34" customHeight="1" s="16">
      <c r="A285" s="20" t="inlineStr">
        <is>
          <t>Let's You and Him Fight</t>
        </is>
      </c>
      <c r="B285" s="20" t="inlineStr">
        <is>
          <t>Plot</t>
        </is>
      </c>
      <c r="C285" s="20" t="inlineStr">
        <is>
          <t>Plot</t>
        </is>
      </c>
      <c r="D285" s="20" t="inlineStr">
        <is>
          <t>Rare</t>
        </is>
      </c>
      <c r="E285" s="20" t="str"/>
      <c r="F285" s="20" t="str"/>
      <c r="G285" s="20" t="str"/>
      <c r="H285" s="20" t="str"/>
      <c r="I285" s="20" t="inlineStr">
        <is>
          <t>Choose a rival and randomly take two Group cards from his hand (Resources count as Groups here). Pick one of them for him to discard; the other returns to his hand. If he holds just one Group card, he discards it.</t>
        </is>
      </c>
      <c r="J285" s="20" t="inlineStr">
        <is>
          <t>Needs rules-engine encoding</t>
        </is>
      </c>
      <c r="K285" s="20" t="inlineStr">
        <is>
          <t>High</t>
        </is>
      </c>
      <c r="L285" s="20" t="str"/>
      <c r="M285" s="20" t="inlineStr">
        <is>
          <t>https://github.com/Cha0smagick/Virtual-Illuminati-New-World-order-INWO-game</t>
        </is>
      </c>
      <c r="N285" t="inlineStr">
        <is>
          <t>Play at any time</t>
        </is>
      </c>
      <c r="O285" t="inlineStr">
        <is>
          <t>One rival's hand (Group and Resource cards)</t>
        </is>
      </c>
      <c r="P285" t="inlineStr">
        <is>
          <t>1 Illuminati action</t>
        </is>
      </c>
      <c r="Q285" t="inlineStr">
        <is>
          <t>Immediate</t>
        </is>
      </c>
      <c r="R285" t="inlineStr">
        <is>
          <t>Rival discards 1 of 2 randomly drawn Group/Resource cards (your pick); if only 1 such card, it is discarded</t>
        </is>
      </c>
      <c r="S285" t="inlineStr">
        <is>
          <t>NO</t>
        </is>
      </c>
      <c r="T285" t="inlineStr">
        <is>
          <t>N/A</t>
        </is>
      </c>
      <c r="U285" t="inlineStr">
        <is>
          <t>N/A</t>
        </is>
      </c>
      <c r="V285" t="inlineStr">
        <is>
          <t>N/A — INWO uses Plots instead of group income/money</t>
        </is>
      </c>
      <c r="W285" t="inlineStr">
        <is>
          <t>N/A</t>
        </is>
      </c>
      <c r="X285" t="inlineStr">
        <is>
          <t>No card-specific limit (base duplicate rules apply)</t>
        </is>
      </c>
      <c r="Y285" t="inlineStr">
        <is>
          <t>None beyond base rules</t>
        </is>
      </c>
      <c r="Z285" t="inlineStr">
        <is>
          <t>Standard response window</t>
        </is>
      </c>
      <c r="AA285" t="inlineStr">
        <is>
          <t>Specific card overrides general rules</t>
        </is>
      </c>
      <c r="AB285" t="inlineStr">
        <is>
          <t>Full card scan read; behaviour paraphrased (no card text copied)</t>
        </is>
      </c>
      <c r="AC285" t="inlineStr">
        <is>
          <t>FUNCTIONALLY COMPLETE</t>
        </is>
      </c>
      <c r="AD285" t="inlineStr">
        <is>
          <t>None</t>
        </is>
      </c>
      <c r="AE285" t="inlineStr">
        <is>
          <t>Card scan (GitHub: Cha0smagick/Virtual-Illuminati-New-World-order-INWO-game), read Sep 2026</t>
        </is>
      </c>
      <c r="AF285" t="inlineStr">
        <is>
          <t>N/A</t>
        </is>
      </c>
      <c r="AG285" t="inlineStr">
        <is>
          <t>N/A</t>
        </is>
      </c>
      <c r="AH285" t="inlineStr">
        <is>
          <t>N/A</t>
        </is>
      </c>
      <c r="AI285" t="inlineStr">
        <is>
          <t>N/A</t>
        </is>
      </c>
      <c r="AJ285" t="inlineStr">
        <is>
          <t>N/A</t>
        </is>
      </c>
      <c r="AK285" t="inlineStr">
        <is>
          <t>Official rules: non-Group card types do not use normal Group control-arrow geometry.</t>
        </is>
      </c>
    </row>
    <row r="286" ht="34" customHeight="1" s="16">
      <c r="A286" s="20" t="inlineStr">
        <is>
          <t>Liberal Agenda</t>
        </is>
      </c>
      <c r="B286" s="20" t="inlineStr">
        <is>
          <t>Plot</t>
        </is>
      </c>
      <c r="C286" s="20" t="inlineStr">
        <is>
          <t>Plot</t>
        </is>
      </c>
      <c r="D286" s="20" t="inlineStr">
        <is>
          <t>Common</t>
        </is>
      </c>
      <c r="E286" s="20" t="str"/>
      <c r="F286" s="20" t="str"/>
      <c r="G286" s="20" t="str"/>
      <c r="H286" s="20" t="str"/>
      <c r="I286" s="20" t="inlineStr">
        <is>
          <t>Pick a target group. Pay with an action by your Illuminati, or actions by Liberal group(s) whose combined Power equals the target's Resistance (doubled if the target is currently Conservative); if the target belongs to a rival, also add the usual bonuses for its closeness to that rival's Illuminati. The target permanently gains the Liberal alignment; if it was Conservative, it loses Conservative. This card stays in play linked to the target.</t>
        </is>
      </c>
      <c r="J286" s="20" t="inlineStr">
        <is>
          <t>Needs rules-engine encoding</t>
        </is>
      </c>
      <c r="K286" s="20" t="inlineStr">
        <is>
          <t>High</t>
        </is>
      </c>
      <c r="L286" s="20" t="inlineStr">
        <is>
          <t>No roll is described; the effect appears automatic once the action cost is paid.</t>
        </is>
      </c>
      <c r="M286" s="20" t="inlineStr">
        <is>
          <t>https://github.com/Cha0smagick/Virtual-Illuminati-New-World-order-INWO-game</t>
        </is>
      </c>
      <c r="N286" t="inlineStr">
        <is>
          <t>Play at any time</t>
        </is>
      </c>
      <c r="O286" t="inlineStr">
        <is>
          <t>Any group (yours or a rival's)</t>
        </is>
      </c>
      <c r="P286" t="inlineStr">
        <is>
          <t>Illuminati action, OR action(s) of Liberal group(s) with total Power &gt;= target Resistance (x2 if target is Conservative; + closeness-to-Illuminati bonus if rival-owned)</t>
        </is>
      </c>
      <c r="Q286" t="inlineStr">
        <is>
          <t>Permanent while linked</t>
        </is>
      </c>
      <c r="R286" t="inlineStr">
        <is>
          <t>Target gains Liberal; removes Conservative if present</t>
        </is>
      </c>
      <c r="S286" t="inlineStr">
        <is>
          <t>NO</t>
        </is>
      </c>
      <c r="T286" t="inlineStr">
        <is>
          <t>N/A</t>
        </is>
      </c>
      <c r="U286" t="inlineStr">
        <is>
          <t>N/A</t>
        </is>
      </c>
      <c r="V286" t="inlineStr">
        <is>
          <t>N/A — INWO uses Plots instead of group income/money</t>
        </is>
      </c>
      <c r="W286" t="inlineStr">
        <is>
          <t>N/A</t>
        </is>
      </c>
      <c r="X286" t="inlineStr">
        <is>
          <t>No card-specific limit (base duplicate rules apply)</t>
        </is>
      </c>
      <c r="Y286" t="inlineStr">
        <is>
          <t>Required Power from Liberal groups (or Illuminati action) as described</t>
        </is>
      </c>
      <c r="Z286" t="inlineStr">
        <is>
          <t>Standard response window</t>
        </is>
      </c>
      <c r="AA286" t="inlineStr">
        <is>
          <t>Specific card overrides general rules</t>
        </is>
      </c>
      <c r="AB286" t="inlineStr">
        <is>
          <t>Full card scan read; behaviour paraphrased (no card text copied)</t>
        </is>
      </c>
      <c r="AC286" t="inlineStr">
        <is>
          <t>FUNCTIONALLY COMPLETE</t>
        </is>
      </c>
      <c r="AD286" t="inlineStr">
        <is>
          <t>None</t>
        </is>
      </c>
      <c r="AE286" t="inlineStr">
        <is>
          <t>Card scan (GitHub: Cha0smagick/Virtual-Illuminati-New-World-order-INWO-game), read Sep 2026</t>
        </is>
      </c>
      <c r="AF286" t="inlineStr">
        <is>
          <t>N/A</t>
        </is>
      </c>
      <c r="AG286" t="inlineStr">
        <is>
          <t>N/A</t>
        </is>
      </c>
      <c r="AH286" t="inlineStr">
        <is>
          <t>N/A</t>
        </is>
      </c>
      <c r="AI286" t="inlineStr">
        <is>
          <t>N/A</t>
        </is>
      </c>
      <c r="AJ286" t="inlineStr">
        <is>
          <t>N/A</t>
        </is>
      </c>
      <c r="AK286" t="inlineStr">
        <is>
          <t>Official rules: non-Group card types do not use normal Group control-arrow geometry.</t>
        </is>
      </c>
    </row>
    <row r="287" ht="34" customHeight="1" s="16">
      <c r="A287" s="20" t="inlineStr">
        <is>
          <t>Logic Bomb</t>
        </is>
      </c>
      <c r="B287" s="20" t="inlineStr">
        <is>
          <t>Plot</t>
        </is>
      </c>
      <c r="C287" s="20" t="inlineStr">
        <is>
          <t>Plot</t>
        </is>
      </c>
      <c r="D287" s="20" t="inlineStr">
        <is>
          <t>Rare</t>
        </is>
      </c>
      <c r="E287" s="20" t="str"/>
      <c r="F287" s="20" t="str"/>
      <c r="G287" s="20" t="str"/>
      <c r="H287" s="20" t="str"/>
      <c r="I287" s="20" t="inlineStr">
        <is>
          <t>Pick one rival and look at all his hidden Plot cards. You may take one of them for yourself, but you must expose (reveal) that card.</t>
        </is>
      </c>
      <c r="J287" s="20" t="inlineStr">
        <is>
          <t>Needs rules-engine encoding</t>
        </is>
      </c>
      <c r="K287" s="20" t="inlineStr">
        <is>
          <t>High</t>
        </is>
      </c>
      <c r="L287" s="20" t="str"/>
      <c r="M287" s="20" t="inlineStr">
        <is>
          <t>https://github.com/Cha0smagick/Virtual-Illuminati-New-World-order-INWO-game</t>
        </is>
      </c>
      <c r="N287" t="inlineStr">
        <is>
          <t>Play at any time</t>
        </is>
      </c>
      <c r="O287" t="inlineStr">
        <is>
          <t>One rival's hidden Plot cards</t>
        </is>
      </c>
      <c r="P287" t="inlineStr">
        <is>
          <t>Action of one group with Power &gt;= 6</t>
        </is>
      </c>
      <c r="Q287" t="inlineStr">
        <is>
          <t>Immediate</t>
        </is>
      </c>
      <c r="R287" t="inlineStr">
        <is>
          <t>View rival's hidden Plots; steal 1, which must be exposed</t>
        </is>
      </c>
      <c r="S287" t="inlineStr">
        <is>
          <t>NO</t>
        </is>
      </c>
      <c r="T287" t="inlineStr">
        <is>
          <t>N/A</t>
        </is>
      </c>
      <c r="U287" t="inlineStr">
        <is>
          <t>N/A</t>
        </is>
      </c>
      <c r="V287" t="inlineStr">
        <is>
          <t>N/A — INWO uses Plots instead of group income/money</t>
        </is>
      </c>
      <c r="W287" t="inlineStr">
        <is>
          <t>N/A</t>
        </is>
      </c>
      <c r="X287" t="inlineStr">
        <is>
          <t>No card-specific limit (base duplicate rules apply)</t>
        </is>
      </c>
      <c r="Y287" t="inlineStr">
        <is>
          <t>None beyond base rules</t>
        </is>
      </c>
      <c r="Z287" t="inlineStr">
        <is>
          <t>Standard response window</t>
        </is>
      </c>
      <c r="AA287" t="inlineStr">
        <is>
          <t>Specific card overrides general rules</t>
        </is>
      </c>
      <c r="AB287" t="inlineStr">
        <is>
          <t>Full card scan read; behaviour paraphrased (no card text copied)</t>
        </is>
      </c>
      <c r="AC287" t="inlineStr">
        <is>
          <t>FUNCTIONALLY COMPLETE</t>
        </is>
      </c>
      <c r="AD287" t="inlineStr">
        <is>
          <t>None</t>
        </is>
      </c>
      <c r="AE287" t="inlineStr">
        <is>
          <t>Card scan (GitHub: Cha0smagick/Virtual-Illuminati-New-World-order-INWO-game), read Sep 2026</t>
        </is>
      </c>
      <c r="AF287" t="inlineStr">
        <is>
          <t>N/A</t>
        </is>
      </c>
      <c r="AG287" t="inlineStr">
        <is>
          <t>N/A</t>
        </is>
      </c>
      <c r="AH287" t="inlineStr">
        <is>
          <t>N/A</t>
        </is>
      </c>
      <c r="AI287" t="inlineStr">
        <is>
          <t>N/A</t>
        </is>
      </c>
      <c r="AJ287" t="inlineStr">
        <is>
          <t>N/A</t>
        </is>
      </c>
      <c r="AK287" t="inlineStr">
        <is>
          <t>Official rules: non-Group card types do not use normal Group control-arrow geometry.</t>
        </is>
      </c>
    </row>
    <row r="288" ht="34" customHeight="1" s="16">
      <c r="A288" s="20" t="inlineStr">
        <is>
          <t>March on Washington</t>
        </is>
      </c>
      <c r="B288" s="20" t="inlineStr">
        <is>
          <t>Plot</t>
        </is>
      </c>
      <c r="C288" s="20" t="inlineStr">
        <is>
          <t>Plot</t>
        </is>
      </c>
      <c r="D288" s="20" t="inlineStr">
        <is>
          <t>Common</t>
        </is>
      </c>
      <c r="E288" s="20" t="str"/>
      <c r="F288" s="20" t="str"/>
      <c r="G288" s="20" t="str"/>
      <c r="H288" s="20" t="str"/>
      <c r="I288" s="20" t="inlineStr">
        <is>
          <t>Play alongside a Plot card that requires one or more actions. This card replaces any one required action of Power 6 or less, of any alignment or attribute, but never an Illuminati action. You must also discard the top undrawn card of your own Plot deck. Usable only once per turn.</t>
        </is>
      </c>
      <c r="J288" s="20" t="inlineStr">
        <is>
          <t>Needs rules-engine encoding</t>
        </is>
      </c>
      <c r="K288" s="20" t="inlineStr">
        <is>
          <t>High</t>
        </is>
      </c>
      <c r="L288" s="20" t="str"/>
      <c r="M288" s="20" t="inlineStr">
        <is>
          <t>https://github.com/Cha0smagick/Virtual-Illuminati-New-World-order-INWO-game</t>
        </is>
      </c>
      <c r="N288" t="inlineStr">
        <is>
          <t>When playing another Plot card that requires action(s)</t>
        </is>
      </c>
      <c r="O288" t="inlineStr">
        <is>
          <t>One required non-Illuminati action of Power &lt;= 6 on another Plot</t>
        </is>
      </c>
      <c r="P288" t="inlineStr">
        <is>
          <t>Discard top card of your Plot deck</t>
        </is>
      </c>
      <c r="Q288" t="inlineStr">
        <is>
          <t>Immediate</t>
        </is>
      </c>
      <c r="R288" t="inlineStr">
        <is>
          <t>Substitutes for 1 action (Power &lt;=6, any alignment/attribute, not Illuminati)</t>
        </is>
      </c>
      <c r="S288" t="inlineStr">
        <is>
          <t>NO</t>
        </is>
      </c>
      <c r="T288" t="inlineStr">
        <is>
          <t>N/A</t>
        </is>
      </c>
      <c r="U288" t="inlineStr">
        <is>
          <t>N/A</t>
        </is>
      </c>
      <c r="V288" t="inlineStr">
        <is>
          <t>N/A — INWO uses Plots instead of group income/money</t>
        </is>
      </c>
      <c r="W288" t="inlineStr">
        <is>
          <t>N/A</t>
        </is>
      </c>
      <c r="X288" t="inlineStr">
        <is>
          <t>Only one March on Washington may be used per turn</t>
        </is>
      </c>
      <c r="Y288" t="inlineStr">
        <is>
          <t>Played together with a Plot that requires action(s)</t>
        </is>
      </c>
      <c r="Z288" t="inlineStr">
        <is>
          <t>Standard response window</t>
        </is>
      </c>
      <c r="AA288" t="inlineStr">
        <is>
          <t>Specific card overrides general rules</t>
        </is>
      </c>
      <c r="AB288" t="inlineStr">
        <is>
          <t>Full card scan read; behaviour paraphrased (no card text copied)</t>
        </is>
      </c>
      <c r="AC288" t="inlineStr">
        <is>
          <t>FUNCTIONALLY COMPLETE</t>
        </is>
      </c>
      <c r="AD288" t="inlineStr">
        <is>
          <t>None</t>
        </is>
      </c>
      <c r="AE288" t="inlineStr">
        <is>
          <t>Card scan (GitHub: Cha0smagick/Virtual-Illuminati-New-World-order-INWO-game), read Sep 2026</t>
        </is>
      </c>
      <c r="AF288" t="inlineStr">
        <is>
          <t>N/A</t>
        </is>
      </c>
      <c r="AG288" t="inlineStr">
        <is>
          <t>N/A</t>
        </is>
      </c>
      <c r="AH288" t="inlineStr">
        <is>
          <t>N/A</t>
        </is>
      </c>
      <c r="AI288" t="inlineStr">
        <is>
          <t>N/A</t>
        </is>
      </c>
      <c r="AJ288" t="inlineStr">
        <is>
          <t>N/A</t>
        </is>
      </c>
      <c r="AK288" t="inlineStr">
        <is>
          <t>Official rules: non-Group card types do not use normal Group control-arrow geometry.</t>
        </is>
      </c>
    </row>
    <row r="289" ht="34" customHeight="1" s="16">
      <c r="A289" s="20" t="inlineStr">
        <is>
          <t>Market Manipulation</t>
        </is>
      </c>
      <c r="B289" s="20" t="inlineStr">
        <is>
          <t>Plot</t>
        </is>
      </c>
      <c r="C289" s="20" t="inlineStr">
        <is>
          <t>Plot</t>
        </is>
      </c>
      <c r="D289" s="20" t="inlineStr">
        <is>
          <t>Uncommon</t>
        </is>
      </c>
      <c r="E289" s="20" t="str"/>
      <c r="F289" s="20" t="str"/>
      <c r="G289" s="20" t="str"/>
      <c r="H289" s="20" t="str"/>
      <c r="I289" s="20" t="inlineStr">
        <is>
          <t>Whenever you like, clear the Action tokens off any number of Bank groups and, if you wish, off a single Corporate group. Doesn't count as an action.</t>
        </is>
      </c>
      <c r="J289" s="20" t="inlineStr">
        <is>
          <t>Needs rules-engine encoding</t>
        </is>
      </c>
      <c r="K289" s="20" t="inlineStr">
        <is>
          <t>High</t>
        </is>
      </c>
      <c r="L289" s="20" t="inlineStr">
        <is>
          <t>Card does not restrict to your own groups; can be used to refresh your groups or clear rivals' tokens.</t>
        </is>
      </c>
      <c r="M289" s="20" t="inlineStr">
        <is>
          <t>https://github.com/Cha0smagick/Virtual-Illuminati-New-World-order-INWO-game</t>
        </is>
      </c>
      <c r="N289" t="inlineStr">
        <is>
          <t>Play at any time</t>
        </is>
      </c>
      <c r="O289" t="inlineStr">
        <is>
          <t>Up to one Corporate group and any/all Bank groups</t>
        </is>
      </c>
      <c r="P289" t="inlineStr">
        <is>
          <t>None (not an action)</t>
        </is>
      </c>
      <c r="Q289" t="inlineStr">
        <is>
          <t>Immediate</t>
        </is>
      </c>
      <c r="R289" t="inlineStr">
        <is>
          <t>Remove Action tokens: optionally 1 Corporate group, plus any number of Bank groups</t>
        </is>
      </c>
      <c r="S289" t="inlineStr">
        <is>
          <t>NO</t>
        </is>
      </c>
      <c r="T289" t="inlineStr">
        <is>
          <t>N/A</t>
        </is>
      </c>
      <c r="U289" t="inlineStr">
        <is>
          <t>N/A</t>
        </is>
      </c>
      <c r="V289" t="inlineStr">
        <is>
          <t>N/A — INWO uses Plots instead of group income/money</t>
        </is>
      </c>
      <c r="W289" t="inlineStr">
        <is>
          <t>N/A</t>
        </is>
      </c>
      <c r="X289" t="inlineStr">
        <is>
          <t>No card-specific limit (base duplicate rules apply)</t>
        </is>
      </c>
      <c r="Y289" t="inlineStr">
        <is>
          <t>None beyond base rules</t>
        </is>
      </c>
      <c r="Z289" t="inlineStr">
        <is>
          <t>Standard response window</t>
        </is>
      </c>
      <c r="AA289" t="inlineStr">
        <is>
          <t>Specific card overrides general rules</t>
        </is>
      </c>
      <c r="AB289" t="inlineStr">
        <is>
          <t>Full card scan read; behaviour paraphrased (no card text copied)</t>
        </is>
      </c>
      <c r="AC289" t="inlineStr">
        <is>
          <t>FUNCTIONALLY COMPLETE</t>
        </is>
      </c>
      <c r="AD289" t="inlineStr">
        <is>
          <t>None</t>
        </is>
      </c>
      <c r="AE289" t="inlineStr">
        <is>
          <t>Card scan (GitHub: Cha0smagick/Virtual-Illuminati-New-World-order-INWO-game), read Sep 2026</t>
        </is>
      </c>
      <c r="AF289" t="inlineStr">
        <is>
          <t>N/A</t>
        </is>
      </c>
      <c r="AG289" t="inlineStr">
        <is>
          <t>N/A</t>
        </is>
      </c>
      <c r="AH289" t="inlineStr">
        <is>
          <t>N/A</t>
        </is>
      </c>
      <c r="AI289" t="inlineStr">
        <is>
          <t>N/A</t>
        </is>
      </c>
      <c r="AJ289" t="inlineStr">
        <is>
          <t>N/A</t>
        </is>
      </c>
      <c r="AK289" t="inlineStr">
        <is>
          <t>Official rules: non-Group card types do not use normal Group control-arrow geometry.</t>
        </is>
      </c>
    </row>
    <row r="290" ht="34" customHeight="1" s="16">
      <c r="A290" s="20" t="inlineStr">
        <is>
          <t>Martial Law</t>
        </is>
      </c>
      <c r="B290" s="20" t="inlineStr">
        <is>
          <t>Plot</t>
        </is>
      </c>
      <c r="C290" s="20" t="inlineStr">
        <is>
          <t>Plot</t>
        </is>
      </c>
      <c r="D290" s="20" t="inlineStr">
        <is>
          <t>Common</t>
        </is>
      </c>
      <c r="E290" s="20" t="str"/>
      <c r="F290" s="20" t="str"/>
      <c r="G290" s="20" t="str"/>
      <c r="H290" s="20" t="str"/>
      <c r="I290" s="20" t="inlineStr">
        <is>
          <t>At any time, give one Government group you control +10 Power or +10 Resistance (your choice). If boosting an action, it must be played when that action is first declared and applies only to that action. If used defensively, the bonus lasts until end of the current turn and does not count toward Goals.</t>
        </is>
      </c>
      <c r="J290" s="20" t="inlineStr">
        <is>
          <t>Needs rules-engine encoding</t>
        </is>
      </c>
      <c r="K290" s="20" t="inlineStr">
        <is>
          <t>High</t>
        </is>
      </c>
      <c r="L290" s="20" t="str"/>
      <c r="M290" s="20" t="inlineStr">
        <is>
          <t>https://github.com/Cha0smagick/Virtual-Illuminati-New-World-order-INWO-game</t>
        </is>
      </c>
      <c r="N290" t="inlineStr">
        <is>
          <t>Play at any time (if with an action, only at the moment the action is declared)</t>
        </is>
      </c>
      <c r="O290" t="inlineStr">
        <is>
          <t>One Government group you control</t>
        </is>
      </c>
      <c r="P290" t="inlineStr">
        <is>
          <t>None</t>
        </is>
      </c>
      <c r="Q290" t="inlineStr">
        <is>
          <t>Single action (offense) or until end of turn (defense)</t>
        </is>
      </c>
      <c r="R290" t="inlineStr">
        <is>
          <t>+10 Power or +10 Resistance (choose one); defensive bonus ignored for Goals</t>
        </is>
      </c>
      <c r="S290" t="inlineStr">
        <is>
          <t>NO</t>
        </is>
      </c>
      <c r="T290" t="inlineStr">
        <is>
          <t>N/A</t>
        </is>
      </c>
      <c r="U290" t="inlineStr">
        <is>
          <t>N/A</t>
        </is>
      </c>
      <c r="V290" t="inlineStr">
        <is>
          <t>N/A — INWO uses Plots instead of group income/money</t>
        </is>
      </c>
      <c r="W290" t="inlineStr">
        <is>
          <t>N/A</t>
        </is>
      </c>
      <c r="X290" t="inlineStr">
        <is>
          <t>No card-specific limit (base duplicate rules apply)</t>
        </is>
      </c>
      <c r="Y290" t="inlineStr">
        <is>
          <t>You must control a Government group</t>
        </is>
      </c>
      <c r="Z290" t="inlineStr">
        <is>
          <t>Standard response window</t>
        </is>
      </c>
      <c r="AA290" t="inlineStr">
        <is>
          <t>Specific card overrides general rules</t>
        </is>
      </c>
      <c r="AB290" t="inlineStr">
        <is>
          <t>Full card scan read; behaviour paraphrased (no card text copied)</t>
        </is>
      </c>
      <c r="AC290" t="inlineStr">
        <is>
          <t>FUNCTIONALLY COMPLETE</t>
        </is>
      </c>
      <c r="AD290" t="inlineStr">
        <is>
          <t>None</t>
        </is>
      </c>
      <c r="AE290" t="inlineStr">
        <is>
          <t>Card scan (GitHub: Cha0smagick/Virtual-Illuminati-New-World-order-INWO-game), read Sep 2026</t>
        </is>
      </c>
      <c r="AF290" t="inlineStr">
        <is>
          <t>N/A</t>
        </is>
      </c>
      <c r="AG290" t="inlineStr">
        <is>
          <t>N/A</t>
        </is>
      </c>
      <c r="AH290" t="inlineStr">
        <is>
          <t>N/A</t>
        </is>
      </c>
      <c r="AI290" t="inlineStr">
        <is>
          <t>N/A</t>
        </is>
      </c>
      <c r="AJ290" t="inlineStr">
        <is>
          <t>N/A</t>
        </is>
      </c>
      <c r="AK290" t="inlineStr">
        <is>
          <t>Official rules: non-Group card types do not use normal Group control-arrow geometry.</t>
        </is>
      </c>
    </row>
    <row r="291" ht="34" customHeight="1" s="16">
      <c r="A291" s="20" t="inlineStr">
        <is>
          <t>Martyrs</t>
        </is>
      </c>
      <c r="B291" s="20" t="inlineStr">
        <is>
          <t>Plot</t>
        </is>
      </c>
      <c r="C291" s="20" t="inlineStr">
        <is>
          <t>Plot</t>
        </is>
      </c>
      <c r="D291" s="20" t="inlineStr">
        <is>
          <t>Common</t>
        </is>
      </c>
      <c r="E291" s="20" t="str"/>
      <c r="F291" s="20" t="str"/>
      <c r="G291" s="20" t="str"/>
      <c r="H291" s="20" t="str"/>
      <c r="I291" s="20" t="inlineStr">
        <is>
          <t>At any time, give one Peaceful group you control +10 Power or +10 Resistance (your choice). If boosting an action, it must be played when that action is first declared and applies only to that action. If used defensively, the bonus lasts until end of the current turn and does not count toward Goals.</t>
        </is>
      </c>
      <c r="J291" s="20" t="inlineStr">
        <is>
          <t>Needs rules-engine encoding</t>
        </is>
      </c>
      <c r="K291" s="20" t="inlineStr">
        <is>
          <t>High</t>
        </is>
      </c>
      <c r="L291" s="20" t="str"/>
      <c r="M291" s="20" t="inlineStr">
        <is>
          <t>https://github.com/Cha0smagick/Virtual-Illuminati-New-World-order-INWO-game</t>
        </is>
      </c>
      <c r="N291" t="inlineStr">
        <is>
          <t>Play at any time (if with an action, only at the moment the action is declared)</t>
        </is>
      </c>
      <c r="O291" t="inlineStr">
        <is>
          <t>One Peaceful group you control</t>
        </is>
      </c>
      <c r="P291" t="inlineStr">
        <is>
          <t>None</t>
        </is>
      </c>
      <c r="Q291" t="inlineStr">
        <is>
          <t>Single action (offense) or until end of turn (defense)</t>
        </is>
      </c>
      <c r="R291" t="inlineStr">
        <is>
          <t>+10 Power or +10 Resistance (choose one); defensive bonus ignored for Goals</t>
        </is>
      </c>
      <c r="S291" t="inlineStr">
        <is>
          <t>NO</t>
        </is>
      </c>
      <c r="T291" t="inlineStr">
        <is>
          <t>N/A</t>
        </is>
      </c>
      <c r="U291" t="inlineStr">
        <is>
          <t>N/A</t>
        </is>
      </c>
      <c r="V291" t="inlineStr">
        <is>
          <t>N/A — INWO uses Plots instead of group income/money</t>
        </is>
      </c>
      <c r="W291" t="inlineStr">
        <is>
          <t>N/A</t>
        </is>
      </c>
      <c r="X291" t="inlineStr">
        <is>
          <t>No card-specific limit (base duplicate rules apply)</t>
        </is>
      </c>
      <c r="Y291" t="inlineStr">
        <is>
          <t>You must control a Peaceful group</t>
        </is>
      </c>
      <c r="Z291" t="inlineStr">
        <is>
          <t>Standard response window</t>
        </is>
      </c>
      <c r="AA291" t="inlineStr">
        <is>
          <t>Specific card overrides general rules</t>
        </is>
      </c>
      <c r="AB291" t="inlineStr">
        <is>
          <t>Full card scan read; behaviour paraphrased (no card text copied)</t>
        </is>
      </c>
      <c r="AC291" t="inlineStr">
        <is>
          <t>FUNCTIONALLY COMPLETE</t>
        </is>
      </c>
      <c r="AD291" t="inlineStr">
        <is>
          <t>None</t>
        </is>
      </c>
      <c r="AE291" t="inlineStr">
        <is>
          <t>Card scan (GitHub: Cha0smagick/Virtual-Illuminati-New-World-order-INWO-game), read Sep 2026</t>
        </is>
      </c>
      <c r="AF291" t="inlineStr">
        <is>
          <t>N/A</t>
        </is>
      </c>
      <c r="AG291" t="inlineStr">
        <is>
          <t>N/A</t>
        </is>
      </c>
      <c r="AH291" t="inlineStr">
        <is>
          <t>N/A</t>
        </is>
      </c>
      <c r="AI291" t="inlineStr">
        <is>
          <t>N/A</t>
        </is>
      </c>
      <c r="AJ291" t="inlineStr">
        <is>
          <t>N/A</t>
        </is>
      </c>
      <c r="AK291" t="inlineStr">
        <is>
          <t>Official rules: non-Group card types do not use normal Group control-arrow geometry.</t>
        </is>
      </c>
    </row>
    <row r="292" ht="34" customHeight="1" s="16">
      <c r="A292" s="20" t="inlineStr">
        <is>
          <t>Mass Murder</t>
        </is>
      </c>
      <c r="B292" s="20" t="inlineStr">
        <is>
          <t>Plot</t>
        </is>
      </c>
      <c r="C292" s="20" t="inlineStr">
        <is>
          <t>Plot</t>
        </is>
      </c>
      <c r="D292" s="20" t="inlineStr">
        <is>
          <t>Rare</t>
        </is>
      </c>
      <c r="E292" s="20" t="str"/>
      <c r="F292" s="20" t="str"/>
      <c r="G292" s="20" t="str"/>
      <c r="H292" s="20" t="str"/>
      <c r="I292" s="20" t="inlineStr">
        <is>
          <t>Strip the Action tokens from whichever Media groups in play you choose, and cancel actions Media groups have just taken. Costs your Illuminati's action or actions of Media groups totalling Power 5.</t>
        </is>
      </c>
      <c r="J292" s="20" t="inlineStr">
        <is>
          <t>Needs rules-engine encoding</t>
        </is>
      </c>
      <c r="K292" s="20" t="inlineStr">
        <is>
          <t>High</t>
        </is>
      </c>
      <c r="L292" s="20" t="inlineStr">
        <is>
          <t>Card says 'Media group(s) with a Power of 5'; interpreted as total Power of at least 5.</t>
        </is>
      </c>
      <c r="M292" s="20" t="inlineStr">
        <is>
          <t>https://github.com/Cha0smagick/Virtual-Illuminati-New-World-order-INWO-game</t>
        </is>
      </c>
      <c r="N292" t="inlineStr">
        <is>
          <t>Play at any time (can respond to a Media group's action)</t>
        </is>
      </c>
      <c r="O292" t="inlineStr">
        <is>
          <t>Any or all Media groups in play</t>
        </is>
      </c>
      <c r="P292" t="inlineStr">
        <is>
          <t>Illuminati action OR action(s) of Media group(s) with Power 5</t>
        </is>
      </c>
      <c r="Q292" t="inlineStr">
        <is>
          <t>Immediate</t>
        </is>
      </c>
      <c r="R292" t="inlineStr">
        <is>
          <t>Remove Action tokens from chosen Media groups; cancel just-taken Media actions</t>
        </is>
      </c>
      <c r="S292" t="inlineStr">
        <is>
          <t>NO</t>
        </is>
      </c>
      <c r="T292" t="inlineStr">
        <is>
          <t>N/A</t>
        </is>
      </c>
      <c r="U292" t="inlineStr">
        <is>
          <t>N/A</t>
        </is>
      </c>
      <c r="V292" t="inlineStr">
        <is>
          <t>N/A — INWO uses Plots instead of group income/money</t>
        </is>
      </c>
      <c r="W292" t="inlineStr">
        <is>
          <t>N/A</t>
        </is>
      </c>
      <c r="X292" t="inlineStr">
        <is>
          <t>No card-specific limit (base duplicate rules apply)</t>
        </is>
      </c>
      <c r="Y292" t="inlineStr">
        <is>
          <t>None beyond base rules</t>
        </is>
      </c>
      <c r="Z292" t="inlineStr">
        <is>
          <t>Standard response window</t>
        </is>
      </c>
      <c r="AA292" t="inlineStr">
        <is>
          <t>Specific card overrides general rules</t>
        </is>
      </c>
      <c r="AB292" t="inlineStr">
        <is>
          <t>Full card scan read; behaviour paraphrased (no card text copied)</t>
        </is>
      </c>
      <c r="AC292" t="inlineStr">
        <is>
          <t>FUNCTIONALLY COMPLETE</t>
        </is>
      </c>
      <c r="AD292" t="inlineStr">
        <is>
          <t>None</t>
        </is>
      </c>
      <c r="AE292" t="inlineStr">
        <is>
          <t>Card scan (GitHub: Cha0smagick/Virtual-Illuminati-New-World-order-INWO-game), read Sep 2026</t>
        </is>
      </c>
      <c r="AF292" t="inlineStr">
        <is>
          <t>N/A</t>
        </is>
      </c>
      <c r="AG292" t="inlineStr">
        <is>
          <t>N/A</t>
        </is>
      </c>
      <c r="AH292" t="inlineStr">
        <is>
          <t>N/A</t>
        </is>
      </c>
      <c r="AI292" t="inlineStr">
        <is>
          <t>N/A</t>
        </is>
      </c>
      <c r="AJ292" t="inlineStr">
        <is>
          <t>N/A</t>
        </is>
      </c>
      <c r="AK292" t="inlineStr">
        <is>
          <t>Official rules: non-Group card types do not use normal Group control-arrow geometry.</t>
        </is>
      </c>
    </row>
    <row r="293" ht="34" customHeight="1" s="16">
      <c r="A293" s="20" t="inlineStr">
        <is>
          <t>Media Blitz</t>
        </is>
      </c>
      <c r="B293" s="20" t="inlineStr">
        <is>
          <t>Plot</t>
        </is>
      </c>
      <c r="C293" s="20" t="inlineStr">
        <is>
          <t>Plot</t>
        </is>
      </c>
      <c r="D293" s="20" t="inlineStr">
        <is>
          <t>Common</t>
        </is>
      </c>
      <c r="E293" s="20" t="str"/>
      <c r="F293" s="20" t="str"/>
      <c r="G293" s="20" t="str"/>
      <c r="H293" s="20" t="str"/>
      <c r="I293" s="20" t="inlineStr">
        <is>
          <t>Spend a Media group's action while you hold a Group card that duplicates a destroyed Group: that card may then be played in the normal way, as if the Group had never been destroyed, and the first copy stops counting as destroyed for its destroyer's Goals. Not usable on a Personality that was Assassinated.</t>
        </is>
      </c>
      <c r="J293" s="20" t="inlineStr">
        <is>
          <t>Needs rules-engine encoding</t>
        </is>
      </c>
      <c r="K293" s="20" t="inlineStr">
        <is>
          <t>High</t>
        </is>
      </c>
      <c r="L293" s="20" t="str"/>
      <c r="M293" s="20" t="inlineStr">
        <is>
          <t>https://github.com/Cha0smagick/Virtual-Illuminati-New-World-order-INWO-game</t>
        </is>
      </c>
      <c r="N293" t="inlineStr">
        <is>
          <t>While you hold a duplicate of a destroyed Group</t>
        </is>
      </c>
      <c r="O293" t="inlineStr">
        <is>
          <t>A Group card in your hand duplicating a destroyed Group</t>
        </is>
      </c>
      <c r="P293" t="inlineStr">
        <is>
          <t>Action of one Media group</t>
        </is>
      </c>
      <c r="Q293" t="inlineStr">
        <is>
          <t>Permanent</t>
        </is>
      </c>
      <c r="R293" t="inlineStr">
        <is>
          <t>Duplicate becomes playable normally; original removed from destroyer's destroyed-for-Goals count</t>
        </is>
      </c>
      <c r="S293" t="inlineStr">
        <is>
          <t>NO</t>
        </is>
      </c>
      <c r="T293" t="inlineStr">
        <is>
          <t>N/A</t>
        </is>
      </c>
      <c r="U293" t="inlineStr">
        <is>
          <t>N/A</t>
        </is>
      </c>
      <c r="V293" t="inlineStr">
        <is>
          <t>N/A — INWO uses Plots instead of group income/money</t>
        </is>
      </c>
      <c r="W293" t="inlineStr">
        <is>
          <t>N/A</t>
        </is>
      </c>
      <c r="X293" t="inlineStr">
        <is>
          <t>No card-specific limit (base duplicate rules apply)</t>
        </is>
      </c>
      <c r="Y293" t="inlineStr">
        <is>
          <t>A Group was destroyed and you hold a duplicate; not for Assassinated Personalities</t>
        </is>
      </c>
      <c r="Z293" t="inlineStr">
        <is>
          <t>Standard response window</t>
        </is>
      </c>
      <c r="AA293" t="inlineStr">
        <is>
          <t>Specific card overrides general rules</t>
        </is>
      </c>
      <c r="AB293" t="inlineStr">
        <is>
          <t>Full card scan read; behaviour paraphrased (no card text copied)</t>
        </is>
      </c>
      <c r="AC293" t="inlineStr">
        <is>
          <t>FUNCTIONALLY COMPLETE</t>
        </is>
      </c>
      <c r="AD293" t="inlineStr">
        <is>
          <t>None</t>
        </is>
      </c>
      <c r="AE293" t="inlineStr">
        <is>
          <t>Card scan (GitHub: Cha0smagick/Virtual-Illuminati-New-World-order-INWO-game), read Sep 2026</t>
        </is>
      </c>
      <c r="AF293" t="inlineStr">
        <is>
          <t>N/A</t>
        </is>
      </c>
      <c r="AG293" t="inlineStr">
        <is>
          <t>N/A</t>
        </is>
      </c>
      <c r="AH293" t="inlineStr">
        <is>
          <t>N/A</t>
        </is>
      </c>
      <c r="AI293" t="inlineStr">
        <is>
          <t>N/A</t>
        </is>
      </c>
      <c r="AJ293" t="inlineStr">
        <is>
          <t>N/A</t>
        </is>
      </c>
      <c r="AK293" t="inlineStr">
        <is>
          <t>Official rules: non-Group card types do not use normal Group control-arrow geometry.</t>
        </is>
      </c>
    </row>
    <row r="294" ht="34" customHeight="1" s="16">
      <c r="A294" s="20" t="inlineStr">
        <is>
          <t>Media Connections</t>
        </is>
      </c>
      <c r="B294" s="20" t="inlineStr">
        <is>
          <t>Plot</t>
        </is>
      </c>
      <c r="C294" s="20" t="inlineStr">
        <is>
          <t>Plot</t>
        </is>
      </c>
      <c r="D294" s="20" t="inlineStr">
        <is>
          <t>Rare</t>
        </is>
      </c>
      <c r="E294" s="20" t="str"/>
      <c r="F294" s="20" t="str"/>
      <c r="G294" s="20" t="str"/>
      <c r="H294" s="20" t="str"/>
      <c r="I294" s="20" t="inlineStr">
        <is>
          <t>The chosen group gains the Media attribute (if it lacks it) and its Global Power is set equal to its Power. Link this card to that group. Costs actions of Media groups totalling Power 6+.</t>
        </is>
      </c>
      <c r="J294" s="20" t="inlineStr">
        <is>
          <t>Needs rules-engine encoding</t>
        </is>
      </c>
      <c r="K294" s="20" t="inlineStr">
        <is>
          <t>High</t>
        </is>
      </c>
      <c r="L294" s="20" t="str"/>
      <c r="M294" s="20" t="inlineStr">
        <is>
          <t>https://github.com/Cha0smagick/Virtual-Illuminati-New-World-order-INWO-game</t>
        </is>
      </c>
      <c r="N294" t="inlineStr">
        <is>
          <t>Play at any time</t>
        </is>
      </c>
      <c r="O294" t="inlineStr">
        <is>
          <t>Any group of your choice</t>
        </is>
      </c>
      <c r="P294" t="inlineStr">
        <is>
          <t>Action(s) of Media group(s) with total Power &gt;= 6</t>
        </is>
      </c>
      <c r="Q294" t="inlineStr">
        <is>
          <t>Permanent while linked</t>
        </is>
      </c>
      <c r="R294" t="inlineStr">
        <is>
          <t>Target gains Media attribute; Global Power := regular Power</t>
        </is>
      </c>
      <c r="S294" t="inlineStr">
        <is>
          <t>NO</t>
        </is>
      </c>
      <c r="T294" t="inlineStr">
        <is>
          <t>N/A</t>
        </is>
      </c>
      <c r="U294" t="inlineStr">
        <is>
          <t>N/A</t>
        </is>
      </c>
      <c r="V294" t="inlineStr">
        <is>
          <t>N/A — INWO uses Plots instead of group income/money</t>
        </is>
      </c>
      <c r="W294" t="inlineStr">
        <is>
          <t>N/A</t>
        </is>
      </c>
      <c r="X294" t="inlineStr">
        <is>
          <t>No card-specific limit (base duplicate rules apply)</t>
        </is>
      </c>
      <c r="Y294" t="inlineStr">
        <is>
          <t>None beyond base rules</t>
        </is>
      </c>
      <c r="Z294" t="inlineStr">
        <is>
          <t>Standard response window</t>
        </is>
      </c>
      <c r="AA294" t="inlineStr">
        <is>
          <t>Specific card overrides general rules</t>
        </is>
      </c>
      <c r="AB294" t="inlineStr">
        <is>
          <t>Full card scan read; behaviour paraphrased (no card text copied)</t>
        </is>
      </c>
      <c r="AC294" t="inlineStr">
        <is>
          <t>FUNCTIONALLY COMPLETE</t>
        </is>
      </c>
      <c r="AD294" t="inlineStr">
        <is>
          <t>None</t>
        </is>
      </c>
      <c r="AE294" t="inlineStr">
        <is>
          <t>Card scan (GitHub: Cha0smagick/Virtual-Illuminati-New-World-order-INWO-game), read Sep 2026</t>
        </is>
      </c>
      <c r="AF294" t="inlineStr">
        <is>
          <t>N/A</t>
        </is>
      </c>
      <c r="AG294" t="inlineStr">
        <is>
          <t>N/A</t>
        </is>
      </c>
      <c r="AH294" t="inlineStr">
        <is>
          <t>N/A</t>
        </is>
      </c>
      <c r="AI294" t="inlineStr">
        <is>
          <t>N/A</t>
        </is>
      </c>
      <c r="AJ294" t="inlineStr">
        <is>
          <t>N/A</t>
        </is>
      </c>
      <c r="AK294" t="inlineStr">
        <is>
          <t>Official rules: non-Group card types do not use normal Group control-arrow geometry.</t>
        </is>
      </c>
    </row>
    <row r="295" ht="34" customHeight="1" s="16">
      <c r="A295" s="20" t="inlineStr">
        <is>
          <t>Messiah</t>
        </is>
      </c>
      <c r="B295" s="20" t="inlineStr">
        <is>
          <t>Plot</t>
        </is>
      </c>
      <c r="C295" s="20" t="inlineStr">
        <is>
          <t>Plot</t>
        </is>
      </c>
      <c r="D295" s="20" t="inlineStr">
        <is>
          <t>Rare</t>
        </is>
      </c>
      <c r="E295" s="20" t="str"/>
      <c r="F295" s="20" t="str"/>
      <c r="G295" s="20" t="str"/>
      <c r="H295" s="20" t="str"/>
      <c r="I295" s="20" t="inlineStr">
        <is>
          <t>Link to one of your Personalities, at any time other than during an attack. The Personality gains +4 Power and +4 Resistance, and another +2 to both for each Church group you control (recalculated as that changes). The game allows just one Messiah on the table at once.</t>
        </is>
      </c>
      <c r="J295" s="20" t="inlineStr">
        <is>
          <t>Needs rules-engine encoding</t>
        </is>
      </c>
      <c r="K295" s="20" t="inlineStr">
        <is>
          <t>High</t>
        </is>
      </c>
      <c r="L295" s="20" t="inlineStr">
        <is>
          <t>Card does not state an action cost. Church count means Church groups you control at any given moment.</t>
        </is>
      </c>
      <c r="M295" s="20" t="inlineStr">
        <is>
          <t>https://github.com/Cha0smagick/Virtual-Illuminati-New-World-order-INWO-game</t>
        </is>
      </c>
      <c r="N295" t="inlineStr">
        <is>
          <t>Play at any time except during an attack</t>
        </is>
      </c>
      <c r="O295" t="inlineStr">
        <is>
          <t>One Personality you control</t>
        </is>
      </c>
      <c r="P295" t="inlineStr">
        <is>
          <t>None</t>
        </is>
      </c>
      <c r="Q295" t="inlineStr">
        <is>
          <t>Permanent while linked</t>
        </is>
      </c>
      <c r="R295" t="inlineStr">
        <is>
          <t>+4 Power and +4 Resistance, +2 each per Church you control (dynamic)</t>
        </is>
      </c>
      <c r="S295" t="inlineStr">
        <is>
          <t>NO</t>
        </is>
      </c>
      <c r="T295" t="inlineStr">
        <is>
          <t>N/A</t>
        </is>
      </c>
      <c r="U295" t="inlineStr">
        <is>
          <t>N/A</t>
        </is>
      </c>
      <c r="V295" t="inlineStr">
        <is>
          <t>N/A — INWO uses Plots instead of group income/money</t>
        </is>
      </c>
      <c r="W295" t="inlineStr">
        <is>
          <t>N/A</t>
        </is>
      </c>
      <c r="X295" t="inlineStr">
        <is>
          <t>Game-wide limit: a single Messiah on the table at any moment</t>
        </is>
      </c>
      <c r="Y295" t="inlineStr">
        <is>
          <t>Not during an attack; you control a Personality</t>
        </is>
      </c>
      <c r="Z295" t="inlineStr">
        <is>
          <t>Standard response window</t>
        </is>
      </c>
      <c r="AA295" t="inlineStr">
        <is>
          <t>Specific card overrides general rules</t>
        </is>
      </c>
      <c r="AB295" t="inlineStr">
        <is>
          <t>Full card scan read; behaviour paraphrased (no card text copied)</t>
        </is>
      </c>
      <c r="AC295" t="inlineStr">
        <is>
          <t>FUNCTIONALLY COMPLETE</t>
        </is>
      </c>
      <c r="AD295" t="inlineStr">
        <is>
          <t>None</t>
        </is>
      </c>
      <c r="AE295" t="inlineStr">
        <is>
          <t>Card scan (GitHub: Cha0smagick/Virtual-Illuminati-New-World-order-INWO-game), read Sep 2026</t>
        </is>
      </c>
      <c r="AF295" t="inlineStr">
        <is>
          <t>N/A</t>
        </is>
      </c>
      <c r="AG295" t="inlineStr">
        <is>
          <t>N/A</t>
        </is>
      </c>
      <c r="AH295" t="inlineStr">
        <is>
          <t>N/A</t>
        </is>
      </c>
      <c r="AI295" t="inlineStr">
        <is>
          <t>N/A</t>
        </is>
      </c>
      <c r="AJ295" t="inlineStr">
        <is>
          <t>N/A</t>
        </is>
      </c>
      <c r="AK295" t="inlineStr">
        <is>
          <t>Official rules: non-Group card types do not use normal Group control-arrow geometry.</t>
        </is>
      </c>
    </row>
    <row r="296" ht="34" customHeight="1" s="16">
      <c r="A296" s="20" t="inlineStr">
        <is>
          <t>Meteor Strike</t>
        </is>
      </c>
      <c r="B296" s="20" t="inlineStr">
        <is>
          <t>Plot</t>
        </is>
      </c>
      <c r="C296" s="20" t="inlineStr">
        <is>
          <t>Disaster</t>
        </is>
      </c>
      <c r="D296" s="20" t="inlineStr">
        <is>
          <t>Uncommon</t>
        </is>
      </c>
      <c r="E296" s="20" t="inlineStr">
        <is>
          <t>16</t>
        </is>
      </c>
      <c r="F296" s="20" t="str"/>
      <c r="G296" s="20" t="str"/>
      <c r="H296" s="20" t="str"/>
      <c r="I296" s="20" t="inlineStr">
        <is>
          <t>Disaster. An Instant Attack to Destroy against any Place, made without spending any action, at a fixed Power of 16. On success the Place becomes Devastated; if the roll beats the needed number by more than 4, the Place is destroyed outright.</t>
        </is>
      </c>
      <c r="J296" s="20" t="inlineStr">
        <is>
          <t>Needs rules-engine encoding</t>
        </is>
      </c>
      <c r="K296" s="20" t="inlineStr">
        <is>
          <t>High</t>
        </is>
      </c>
      <c r="L296" s="20" t="inlineStr">
        <is>
          <t>Disaster keyword; 'more than 4' means margin of 5+.</t>
        </is>
      </c>
      <c r="M296" s="20" t="inlineStr">
        <is>
          <t>https://github.com/Cha0smagick/Virtual-Illuminati-New-World-order-INWO-game</t>
        </is>
      </c>
      <c r="N296" t="inlineStr">
        <is>
          <t>Play at any time (Instant Attack)</t>
        </is>
      </c>
      <c r="O296" t="inlineStr">
        <is>
          <t>Any one Place (any size)</t>
        </is>
      </c>
      <c r="P296" t="inlineStr">
        <is>
          <t>None (no action required)</t>
        </is>
      </c>
      <c r="Q296" t="inlineStr">
        <is>
          <t>Immediate</t>
        </is>
      </c>
      <c r="R296" t="inlineStr">
        <is>
          <t>Attack to Destroy at Power 16; success = target Devastated; success margin &gt; 4 = target destroyed</t>
        </is>
      </c>
      <c r="S296" t="inlineStr">
        <is>
          <t>NO</t>
        </is>
      </c>
      <c r="T296" t="inlineStr">
        <is>
          <t>N/A</t>
        </is>
      </c>
      <c r="U296" t="inlineStr">
        <is>
          <t>N/A</t>
        </is>
      </c>
      <c r="V296" t="inlineStr">
        <is>
          <t>N/A — INWO uses Plots instead of group income/money</t>
        </is>
      </c>
      <c r="W296" t="inlineStr">
        <is>
          <t>N/A</t>
        </is>
      </c>
      <c r="X296" t="inlineStr">
        <is>
          <t>No card-specific limit (base duplicate rules apply)</t>
        </is>
      </c>
      <c r="Y296" t="inlineStr">
        <is>
          <t>Target must be a Place</t>
        </is>
      </c>
      <c r="Z296" t="inlineStr">
        <is>
          <t>Standard response window</t>
        </is>
      </c>
      <c r="AA296" t="inlineStr">
        <is>
          <t>Specific card overrides general rules</t>
        </is>
      </c>
      <c r="AB296" t="inlineStr">
        <is>
          <t>Full card scan read; behaviour paraphrased (no card text copied)</t>
        </is>
      </c>
      <c r="AC296" t="inlineStr">
        <is>
          <t>FUNCTIONALLY COMPLETE</t>
        </is>
      </c>
      <c r="AD296" t="inlineStr">
        <is>
          <t>None</t>
        </is>
      </c>
      <c r="AE296" t="inlineStr">
        <is>
          <t>Card scan (GitHub: Cha0smagick/Virtual-Illuminati-New-World-order-INWO-game), read Sep 2026</t>
        </is>
      </c>
      <c r="AF296" t="inlineStr">
        <is>
          <t>N/A</t>
        </is>
      </c>
      <c r="AG296" t="inlineStr">
        <is>
          <t>N/A</t>
        </is>
      </c>
      <c r="AH296" t="inlineStr">
        <is>
          <t>N/A</t>
        </is>
      </c>
      <c r="AI296" t="inlineStr">
        <is>
          <t>N/A</t>
        </is>
      </c>
      <c r="AJ296" t="inlineStr">
        <is>
          <t>N/A</t>
        </is>
      </c>
      <c r="AK296" t="inlineStr">
        <is>
          <t>Official rules: non-Group card types do not use normal Group control-arrow geometry.</t>
        </is>
      </c>
    </row>
    <row r="297" ht="34" customHeight="1" s="16">
      <c r="A297" s="20" t="inlineStr">
        <is>
          <t>Miracle Diet Plan</t>
        </is>
      </c>
      <c r="B297" s="20" t="inlineStr">
        <is>
          <t>Plot</t>
        </is>
      </c>
      <c r="C297" s="20" t="inlineStr">
        <is>
          <t>Plot</t>
        </is>
      </c>
      <c r="D297" s="20" t="inlineStr">
        <is>
          <t>Common</t>
        </is>
      </c>
      <c r="E297" s="20" t="str"/>
      <c r="F297" s="20" t="str"/>
      <c r="G297" s="20" t="str"/>
      <c r="H297" s="20" t="str"/>
      <c r="I297" s="20" t="inlineStr">
        <is>
          <t>Played at any time other than during an attack, as the action of one of your Media groups. The next action taken by one Science group you control has its Power tripled. In addition, strip the Action token(s) from any one rival group that is not an Illuminati.</t>
        </is>
      </c>
      <c r="J297" s="20" t="inlineStr">
        <is>
          <t>Needs rules-engine encoding</t>
        </is>
      </c>
      <c r="K297" s="20" t="inlineStr">
        <is>
          <t>High</t>
        </is>
      </c>
      <c r="L297" s="20" t="inlineStr">
        <is>
          <t>Card says the Science group must be one you control at the time of play. Bottom banner: Requires Media Action.</t>
        </is>
      </c>
      <c r="M297" s="20" t="inlineStr">
        <is>
          <t>https://github.com/Cha0smagick/Virtual-Illuminati-New-World-order-INWO-game</t>
        </is>
      </c>
      <c r="N297" t="inlineStr">
        <is>
          <t>Any time except during an attack</t>
        </is>
      </c>
      <c r="O297" t="inlineStr">
        <is>
          <t>One Science group you control (Power x3 on its next action) and one rival non-Illuminati group (loses its Action tokens)</t>
        </is>
      </c>
      <c r="P297" t="inlineStr">
        <is>
          <t>Action of one Media group</t>
        </is>
      </c>
      <c r="Q297" t="inlineStr">
        <is>
          <t>Power bonus lasts for the Science group's next action; token removal immediate</t>
        </is>
      </c>
      <c r="R297" t="inlineStr">
        <is>
          <t>Chosen own Science group: Power x3 for next action; chosen rival non-Illuminati group: remove all its Action tokens</t>
        </is>
      </c>
      <c r="S297" t="inlineStr">
        <is>
          <t>NO</t>
        </is>
      </c>
      <c r="T297" t="inlineStr">
        <is>
          <t>N/A</t>
        </is>
      </c>
      <c r="U297" t="inlineStr">
        <is>
          <t>N/A</t>
        </is>
      </c>
      <c r="V297" t="inlineStr">
        <is>
          <t>N/A — INWO uses Plots instead of group income/money</t>
        </is>
      </c>
      <c r="W297" t="inlineStr">
        <is>
          <t>N/A</t>
        </is>
      </c>
      <c r="X297" t="inlineStr">
        <is>
          <t>No card-specific limit (base duplicate rules apply)</t>
        </is>
      </c>
      <c r="Y297" t="inlineStr">
        <is>
          <t>You must have a Media group able to act; cannot be played during an attack</t>
        </is>
      </c>
      <c r="Z297" t="inlineStr">
        <is>
          <t>Standard response window</t>
        </is>
      </c>
      <c r="AA297" t="inlineStr">
        <is>
          <t>Specific card overrides general rules</t>
        </is>
      </c>
      <c r="AB297" t="inlineStr">
        <is>
          <t>Full card scan read; behaviour paraphrased (no card text copied)</t>
        </is>
      </c>
      <c r="AC297" t="inlineStr">
        <is>
          <t>FUNCTIONALLY COMPLETE</t>
        </is>
      </c>
      <c r="AD297" t="inlineStr">
        <is>
          <t>None</t>
        </is>
      </c>
      <c r="AE297" t="inlineStr">
        <is>
          <t>Card scan (GitHub: Cha0smagick/Virtual-Illuminati-New-World-order-INWO-game), read Sep 2026</t>
        </is>
      </c>
      <c r="AF297" t="inlineStr">
        <is>
          <t>N/A</t>
        </is>
      </c>
      <c r="AG297" t="inlineStr">
        <is>
          <t>N/A</t>
        </is>
      </c>
      <c r="AH297" t="inlineStr">
        <is>
          <t>N/A</t>
        </is>
      </c>
      <c r="AI297" t="inlineStr">
        <is>
          <t>N/A</t>
        </is>
      </c>
      <c r="AJ297" t="inlineStr">
        <is>
          <t>N/A</t>
        </is>
      </c>
      <c r="AK297" t="inlineStr">
        <is>
          <t>Official rules: non-Group card types do not use normal Group control-arrow geometry.</t>
        </is>
      </c>
    </row>
    <row r="298" ht="34" customHeight="1" s="16">
      <c r="A298" s="20" t="inlineStr">
        <is>
          <t>Mistaken Identity</t>
        </is>
      </c>
      <c r="B298" s="20" t="inlineStr">
        <is>
          <t>Plot</t>
        </is>
      </c>
      <c r="C298" s="20" t="inlineStr">
        <is>
          <t>Plot</t>
        </is>
      </c>
      <c r="D298" s="20" t="inlineStr">
        <is>
          <t>Rare</t>
        </is>
      </c>
      <c r="E298" s="20" t="str"/>
      <c r="F298" s="20" t="str"/>
      <c r="G298" s="20" t="str"/>
      <c r="H298" s="20" t="str"/>
      <c r="I298" s="20" t="inlineStr">
        <is>
          <t>Played after any Assassination of any kind has been made; that Assassination automatically fails.</t>
        </is>
      </c>
      <c r="J298" s="20" t="inlineStr">
        <is>
          <t>Needs rules-engine encoding</t>
        </is>
      </c>
      <c r="K298" s="20" t="inlineStr">
        <is>
          <t>High</t>
        </is>
      </c>
      <c r="L298" s="20" t="inlineStr">
        <is>
          <t>Works on any type of Assassination; card does not limit it to your own Personalities.</t>
        </is>
      </c>
      <c r="M298" s="20" t="inlineStr">
        <is>
          <t>https://github.com/Cha0smagick/Virtual-Illuminati-New-World-order-INWO-game</t>
        </is>
      </c>
      <c r="N298" t="inlineStr">
        <is>
          <t>In response to an Assassination (after it is played/rolled)</t>
        </is>
      </c>
      <c r="O298" t="inlineStr">
        <is>
          <t>One Assassination attack</t>
        </is>
      </c>
      <c r="P298" t="inlineStr">
        <is>
          <t>None</t>
        </is>
      </c>
      <c r="Q298" t="inlineStr">
        <is>
          <t>Immediate</t>
        </is>
      </c>
      <c r="R298" t="inlineStr">
        <is>
          <t>Target Assassination = automatic failure</t>
        </is>
      </c>
      <c r="S298" t="inlineStr">
        <is>
          <t>NO</t>
        </is>
      </c>
      <c r="T298" t="inlineStr">
        <is>
          <t>N/A</t>
        </is>
      </c>
      <c r="U298" t="inlineStr">
        <is>
          <t>N/A</t>
        </is>
      </c>
      <c r="V298" t="inlineStr">
        <is>
          <t>N/A — INWO uses Plots instead of group income/money</t>
        </is>
      </c>
      <c r="W298" t="inlineStr">
        <is>
          <t>N/A</t>
        </is>
      </c>
      <c r="X298" t="inlineStr">
        <is>
          <t>No card-specific limit (base duplicate rules apply)</t>
        </is>
      </c>
      <c r="Y298" t="inlineStr">
        <is>
          <t>An Assassination must have just been made</t>
        </is>
      </c>
      <c r="Z298" t="inlineStr">
        <is>
          <t>Standard response window</t>
        </is>
      </c>
      <c r="AA298" t="inlineStr">
        <is>
          <t>Specific card overrides general rules</t>
        </is>
      </c>
      <c r="AB298" t="inlineStr">
        <is>
          <t>Full card scan read; behaviour paraphrased (no card text copied)</t>
        </is>
      </c>
      <c r="AC298" t="inlineStr">
        <is>
          <t>FUNCTIONALLY COMPLETE</t>
        </is>
      </c>
      <c r="AD298" t="inlineStr">
        <is>
          <t>None</t>
        </is>
      </c>
      <c r="AE298" t="inlineStr">
        <is>
          <t>Card scan (GitHub: Cha0smagick/Virtual-Illuminati-New-World-order-INWO-game), read Sep 2026</t>
        </is>
      </c>
      <c r="AF298" t="inlineStr">
        <is>
          <t>N/A</t>
        </is>
      </c>
      <c r="AG298" t="inlineStr">
        <is>
          <t>N/A</t>
        </is>
      </c>
      <c r="AH298" t="inlineStr">
        <is>
          <t>N/A</t>
        </is>
      </c>
      <c r="AI298" t="inlineStr">
        <is>
          <t>N/A</t>
        </is>
      </c>
      <c r="AJ298" t="inlineStr">
        <is>
          <t>N/A</t>
        </is>
      </c>
      <c r="AK298" t="inlineStr">
        <is>
          <t>Official rules: non-Group card types do not use normal Group control-arrow geometry.</t>
        </is>
      </c>
    </row>
    <row r="299" ht="34" customHeight="1" s="16">
      <c r="A299" s="20" t="inlineStr">
        <is>
          <t>Mob Influence</t>
        </is>
      </c>
      <c r="B299" s="20" t="inlineStr">
        <is>
          <t>Plot</t>
        </is>
      </c>
      <c r="C299" s="20" t="inlineStr">
        <is>
          <t>Plot</t>
        </is>
      </c>
      <c r="D299" s="20" t="inlineStr">
        <is>
          <t>Common</t>
        </is>
      </c>
      <c r="E299" s="20" t="str"/>
      <c r="F299" s="20" t="str"/>
      <c r="G299" s="20" t="str"/>
      <c r="H299" s="20" t="str"/>
      <c r="I299" s="20" t="inlineStr">
        <is>
          <t>Played at any time; it uses up the action of the Criminal group it is applied to. That Criminal group's Power is raised to 6, effective immediately, and this card stays linked to it. Each player may have at most one Mob Influence in play.</t>
        </is>
      </c>
      <c r="J299" s="20" t="inlineStr">
        <is>
          <t>Needs rules-engine encoding</t>
        </is>
      </c>
      <c r="K299" s="20" t="inlineStr">
        <is>
          <t>High</t>
        </is>
      </c>
      <c r="L299" s="20" t="inlineStr">
        <is>
          <t>Wording is 'increased to 6'; engine should treat as raising Power to 6 (not lowering if already higher is not addressed on card). Card says 'your chosen Criminal group'.</t>
        </is>
      </c>
      <c r="M299" s="20" t="inlineStr">
        <is>
          <t>https://github.com/Cha0smagick/Virtual-Illuminati-New-World-order-INWO-game</t>
        </is>
      </c>
      <c r="N299" t="inlineStr">
        <is>
          <t>Play at any time</t>
        </is>
      </c>
      <c r="O299" t="inlineStr">
        <is>
          <t>One Criminal group (the group you link it to)</t>
        </is>
      </c>
      <c r="P299" t="inlineStr">
        <is>
          <t>Action of the affected Criminal group</t>
        </is>
      </c>
      <c r="Q299" t="inlineStr">
        <is>
          <t>Permanent while linked/in play</t>
        </is>
      </c>
      <c r="R299" t="inlineStr">
        <is>
          <t>Target Criminal group Power set to 6 (increase to 6), immediate</t>
        </is>
      </c>
      <c r="S299" t="inlineStr">
        <is>
          <t>NO</t>
        </is>
      </c>
      <c r="T299" t="inlineStr">
        <is>
          <t>N/A</t>
        </is>
      </c>
      <c r="U299" t="inlineStr">
        <is>
          <t>N/A</t>
        </is>
      </c>
      <c r="V299" t="inlineStr">
        <is>
          <t>N/A — INWO uses Plots instead of group income/money</t>
        </is>
      </c>
      <c r="W299" t="inlineStr">
        <is>
          <t>N/A</t>
        </is>
      </c>
      <c r="X299" t="inlineStr">
        <is>
          <t>Limit per player: a single copy on the table</t>
        </is>
      </c>
      <c r="Y299" t="inlineStr">
        <is>
          <t>Target must be a Criminal group; affected group must have its action available</t>
        </is>
      </c>
      <c r="Z299" t="inlineStr">
        <is>
          <t>Standard response window</t>
        </is>
      </c>
      <c r="AA299" t="inlineStr">
        <is>
          <t>Specific card overrides general rules</t>
        </is>
      </c>
      <c r="AB299" t="inlineStr">
        <is>
          <t>Full card scan read; behaviour paraphrased (no card text copied)</t>
        </is>
      </c>
      <c r="AC299" t="inlineStr">
        <is>
          <t>FUNCTIONALLY COMPLETE</t>
        </is>
      </c>
      <c r="AD299" t="inlineStr">
        <is>
          <t>None</t>
        </is>
      </c>
      <c r="AE299" t="inlineStr">
        <is>
          <t>Card scan (GitHub: Cha0smagick/Virtual-Illuminati-New-World-order-INWO-game), read Sep 2026</t>
        </is>
      </c>
      <c r="AF299" t="inlineStr">
        <is>
          <t>N/A</t>
        </is>
      </c>
      <c r="AG299" t="inlineStr">
        <is>
          <t>N/A</t>
        </is>
      </c>
      <c r="AH299" t="inlineStr">
        <is>
          <t>N/A</t>
        </is>
      </c>
      <c r="AI299" t="inlineStr">
        <is>
          <t>N/A</t>
        </is>
      </c>
      <c r="AJ299" t="inlineStr">
        <is>
          <t>N/A</t>
        </is>
      </c>
      <c r="AK299" t="inlineStr">
        <is>
          <t>Official rules: non-Group card types do not use normal Group control-arrow geometry.</t>
        </is>
      </c>
    </row>
    <row r="300" ht="34" customHeight="1" s="16">
      <c r="A300" s="20" t="inlineStr">
        <is>
          <t>Monopoly</t>
        </is>
      </c>
      <c r="B300" s="20" t="inlineStr">
        <is>
          <t>Plot</t>
        </is>
      </c>
      <c r="C300" s="20" t="inlineStr">
        <is>
          <t>Plot</t>
        </is>
      </c>
      <c r="D300" s="20" t="inlineStr">
        <is>
          <t>Common</t>
        </is>
      </c>
      <c r="E300" s="20" t="str"/>
      <c r="F300" s="20" t="str"/>
      <c r="G300" s="20" t="str"/>
      <c r="H300" s="20" t="str"/>
      <c r="I300" s="20" t="inlineStr">
        <is>
          <t>Played at any time; it uses up the action of the Corporate group it is applied to. That Corporate group's Power is raised to 6, effective immediately, and this card stays linked to it. Each player may have at most one Monopoly in play.</t>
        </is>
      </c>
      <c r="J300" s="20" t="inlineStr">
        <is>
          <t>Needs rules-engine encoding</t>
        </is>
      </c>
      <c r="K300" s="20" t="inlineStr">
        <is>
          <t>High</t>
        </is>
      </c>
      <c r="L300" s="20" t="inlineStr">
        <is>
          <t>Card does not say what happens if the group's Power is already above 6.</t>
        </is>
      </c>
      <c r="M300" s="20" t="inlineStr">
        <is>
          <t>https://github.com/Cha0smagick/Virtual-Illuminati-New-World-order-INWO-game</t>
        </is>
      </c>
      <c r="N300" t="inlineStr">
        <is>
          <t>Play at any time</t>
        </is>
      </c>
      <c r="O300" t="inlineStr">
        <is>
          <t>One Corporate group (the group you link it to)</t>
        </is>
      </c>
      <c r="P300" t="inlineStr">
        <is>
          <t>Action of the affected Corporate group</t>
        </is>
      </c>
      <c r="Q300" t="inlineStr">
        <is>
          <t>Permanent while linked/in play</t>
        </is>
      </c>
      <c r="R300" t="inlineStr">
        <is>
          <t>Target Corporate group Power set to 6 (increase to 6), immediate</t>
        </is>
      </c>
      <c r="S300" t="inlineStr">
        <is>
          <t>NO</t>
        </is>
      </c>
      <c r="T300" t="inlineStr">
        <is>
          <t>N/A</t>
        </is>
      </c>
      <c r="U300" t="inlineStr">
        <is>
          <t>N/A</t>
        </is>
      </c>
      <c r="V300" t="inlineStr">
        <is>
          <t>N/A — INWO uses Plots instead of group income/money</t>
        </is>
      </c>
      <c r="W300" t="inlineStr">
        <is>
          <t>N/A</t>
        </is>
      </c>
      <c r="X300" t="inlineStr">
        <is>
          <t>Max one Monopoly in play per player</t>
        </is>
      </c>
      <c r="Y300" t="inlineStr">
        <is>
          <t>Target must be a Corporate group; affected group must have its action available</t>
        </is>
      </c>
      <c r="Z300" t="inlineStr">
        <is>
          <t>Standard response window</t>
        </is>
      </c>
      <c r="AA300" t="inlineStr">
        <is>
          <t>Specific card overrides general rules</t>
        </is>
      </c>
      <c r="AB300" t="inlineStr">
        <is>
          <t>Full card scan read; behaviour paraphrased (no card text copied)</t>
        </is>
      </c>
      <c r="AC300" t="inlineStr">
        <is>
          <t>FUNCTIONALLY COMPLETE</t>
        </is>
      </c>
      <c r="AD300" t="inlineStr">
        <is>
          <t>None</t>
        </is>
      </c>
      <c r="AE300" t="inlineStr">
        <is>
          <t>Card scan (GitHub: Cha0smagick/Virtual-Illuminati-New-World-order-INWO-game), read Sep 2026</t>
        </is>
      </c>
      <c r="AF300" t="inlineStr">
        <is>
          <t>N/A</t>
        </is>
      </c>
      <c r="AG300" t="inlineStr">
        <is>
          <t>N/A</t>
        </is>
      </c>
      <c r="AH300" t="inlineStr">
        <is>
          <t>N/A</t>
        </is>
      </c>
      <c r="AI300" t="inlineStr">
        <is>
          <t>N/A</t>
        </is>
      </c>
      <c r="AJ300" t="inlineStr">
        <is>
          <t>N/A</t>
        </is>
      </c>
      <c r="AK300" t="inlineStr">
        <is>
          <t>Official rules: non-Group card types do not use normal Group control-arrow geometry.</t>
        </is>
      </c>
    </row>
    <row r="301" ht="34" customHeight="1" s="16">
      <c r="A301" s="20" t="inlineStr">
        <is>
          <t>Mother's March</t>
        </is>
      </c>
      <c r="B301" s="20" t="inlineStr">
        <is>
          <t>Plot</t>
        </is>
      </c>
      <c r="C301" s="20" t="inlineStr">
        <is>
          <t>Plot</t>
        </is>
      </c>
      <c r="D301" s="20" t="inlineStr">
        <is>
          <t>Common</t>
        </is>
      </c>
      <c r="E301" s="20" t="str"/>
      <c r="F301" s="20" t="str"/>
      <c r="G301" s="20" t="str"/>
      <c r="H301" s="20" t="str"/>
      <c r="I301" s="20" t="inlineStr">
        <is>
          <t>Played when any Attack to Destroy has just succeeded. The attacker must immediately reroll the attack with a -4 penalty, and nobody may do anything further to alter the strength of the rerolled attack. Using it requires an action from any group with Power 3 or more.</t>
        </is>
      </c>
      <c r="J301" s="20" t="inlineStr">
        <is>
          <t>Needs rules-engine encoding</t>
        </is>
      </c>
      <c r="K301" s="20" t="inlineStr">
        <is>
          <t>High</t>
        </is>
      </c>
      <c r="L301" s="20" t="inlineStr">
        <is>
          <t>Printed title is "Mothers' March".</t>
        </is>
      </c>
      <c r="M301" s="20" t="inlineStr">
        <is>
          <t>https://github.com/Cha0smagick/Virtual-Illuminati-New-World-order-INWO-game</t>
        </is>
      </c>
      <c r="N301" t="inlineStr">
        <is>
          <t>In response to a successful Attack to Destroy</t>
        </is>
      </c>
      <c r="O301" t="inlineStr">
        <is>
          <t>One successful Attack to Destroy (any player's)</t>
        </is>
      </c>
      <c r="P301" t="inlineStr">
        <is>
          <t>Action of one group with Power at least 3</t>
        </is>
      </c>
      <c r="Q301" t="inlineStr">
        <is>
          <t>Immediate</t>
        </is>
      </c>
      <c r="R301" t="inlineStr">
        <is>
          <t>Success is voided; attacker rerolls at -4; no further modifiers to the reroll allowed</t>
        </is>
      </c>
      <c r="S301" t="inlineStr">
        <is>
          <t>NO</t>
        </is>
      </c>
      <c r="T301" t="inlineStr">
        <is>
          <t>N/A</t>
        </is>
      </c>
      <c r="U301" t="inlineStr">
        <is>
          <t>N/A</t>
        </is>
      </c>
      <c r="V301" t="inlineStr">
        <is>
          <t>N/A — INWO uses Plots instead of group income/money</t>
        </is>
      </c>
      <c r="W301" t="inlineStr">
        <is>
          <t>N/A</t>
        </is>
      </c>
      <c r="X301" t="inlineStr">
        <is>
          <t>No card-specific limit (base duplicate rules apply)</t>
        </is>
      </c>
      <c r="Y301" t="inlineStr">
        <is>
          <t>An Attack to Destroy must have succeeded; you need a group with Power &gt;= 3 that can act</t>
        </is>
      </c>
      <c r="Z301" t="inlineStr">
        <is>
          <t>No player may modify the strength of the rerolled attack</t>
        </is>
      </c>
      <c r="AA301" t="inlineStr">
        <is>
          <t>Specific card overrides general rules</t>
        </is>
      </c>
      <c r="AB301" t="inlineStr">
        <is>
          <t>Full card scan read; behaviour paraphrased (no card text copied)</t>
        </is>
      </c>
      <c r="AC301" t="inlineStr">
        <is>
          <t>FUNCTIONALLY COMPLETE</t>
        </is>
      </c>
      <c r="AD301" t="inlineStr">
        <is>
          <t>None</t>
        </is>
      </c>
      <c r="AE301" t="inlineStr">
        <is>
          <t>Card scan (GitHub: Cha0smagick/Virtual-Illuminati-New-World-order-INWO-game), read Sep 2026</t>
        </is>
      </c>
      <c r="AF301" t="inlineStr">
        <is>
          <t>N/A</t>
        </is>
      </c>
      <c r="AG301" t="inlineStr">
        <is>
          <t>N/A</t>
        </is>
      </c>
      <c r="AH301" t="inlineStr">
        <is>
          <t>N/A</t>
        </is>
      </c>
      <c r="AI301" t="inlineStr">
        <is>
          <t>N/A</t>
        </is>
      </c>
      <c r="AJ301" t="inlineStr">
        <is>
          <t>N/A</t>
        </is>
      </c>
      <c r="AK301" t="inlineStr">
        <is>
          <t>Official rules: non-Group card types do not use normal Group control-arrow geometry.</t>
        </is>
      </c>
    </row>
    <row r="302" ht="34" customHeight="1" s="16">
      <c r="A302" s="20" t="inlineStr">
        <is>
          <t>Murphy's Law</t>
        </is>
      </c>
      <c r="B302" s="20" t="inlineStr">
        <is>
          <t>Plot</t>
        </is>
      </c>
      <c r="C302" s="20" t="inlineStr">
        <is>
          <t>Plot</t>
        </is>
      </c>
      <c r="D302" s="20" t="inlineStr">
        <is>
          <t>Uncommon</t>
        </is>
      </c>
      <c r="E302" s="20" t="str"/>
      <c r="F302" s="20" t="str"/>
      <c r="G302" s="20" t="str"/>
      <c r="H302" s="20" t="str"/>
      <c r="I302" s="20" t="inlineStr">
        <is>
          <t>Play right after anyone rolls the dice: that roll now counts as a 12. It uses up all Action tokens on your Illuminati (you need at least one).</t>
        </is>
      </c>
      <c r="J302" s="20" t="inlineStr">
        <is>
          <t>Needs rules-engine encoding</t>
        </is>
      </c>
      <c r="K302" s="20" t="inlineStr">
        <is>
          <t>High</t>
        </is>
      </c>
      <c r="L302" s="20" t="inlineStr">
        <is>
          <t>Under the core rules a roll of 11-12 is normally an automatic failure for attacks, so this usually forces failure.</t>
        </is>
      </c>
      <c r="M302" s="20" t="inlineStr">
        <is>
          <t>https://github.com/Cha0smagick/Virtual-Illuminati-New-World-order-INWO-game</t>
        </is>
      </c>
      <c r="N302" t="inlineStr">
        <is>
          <t>Immediately after any die roll</t>
        </is>
      </c>
      <c r="O302" t="inlineStr">
        <is>
          <t>One die roll by any player</t>
        </is>
      </c>
      <c r="P302" t="inlineStr">
        <is>
          <t>All Action tokens on your Illuminati (minimum 1)</t>
        </is>
      </c>
      <c r="Q302" t="inlineStr">
        <is>
          <t>Immediate</t>
        </is>
      </c>
      <c r="R302" t="inlineStr">
        <is>
          <t>Die roll result set to 12</t>
        </is>
      </c>
      <c r="S302" t="inlineStr">
        <is>
          <t>NO</t>
        </is>
      </c>
      <c r="T302" t="inlineStr">
        <is>
          <t>N/A</t>
        </is>
      </c>
      <c r="U302" t="inlineStr">
        <is>
          <t>N/A</t>
        </is>
      </c>
      <c r="V302" t="inlineStr">
        <is>
          <t>N/A — INWO uses Plots instead of group income/money</t>
        </is>
      </c>
      <c r="W302" t="inlineStr">
        <is>
          <t>N/A</t>
        </is>
      </c>
      <c r="X302" t="inlineStr">
        <is>
          <t>No card-specific limit (base duplicate rules apply)</t>
        </is>
      </c>
      <c r="Y302" t="inlineStr">
        <is>
          <t>Your Illuminati must have at least 1 Action token</t>
        </is>
      </c>
      <c r="Z302" t="inlineStr">
        <is>
          <t>Standard response window</t>
        </is>
      </c>
      <c r="AA302" t="inlineStr">
        <is>
          <t>Specific card overrides general rules</t>
        </is>
      </c>
      <c r="AB302" t="inlineStr">
        <is>
          <t>Full card scan read; behaviour paraphrased (no card text copied)</t>
        </is>
      </c>
      <c r="AC302" t="inlineStr">
        <is>
          <t>FUNCTIONALLY COMPLETE</t>
        </is>
      </c>
      <c r="AD302" t="inlineStr">
        <is>
          <t>None</t>
        </is>
      </c>
      <c r="AE302" t="inlineStr">
        <is>
          <t>Card scan (GitHub: Cha0smagick/Virtual-Illuminati-New-World-order-INWO-game), read Sep 2026</t>
        </is>
      </c>
      <c r="AF302" t="inlineStr">
        <is>
          <t>N/A</t>
        </is>
      </c>
      <c r="AG302" t="inlineStr">
        <is>
          <t>N/A</t>
        </is>
      </c>
      <c r="AH302" t="inlineStr">
        <is>
          <t>N/A</t>
        </is>
      </c>
      <c r="AI302" t="inlineStr">
        <is>
          <t>N/A</t>
        </is>
      </c>
      <c r="AJ302" t="inlineStr">
        <is>
          <t>N/A</t>
        </is>
      </c>
      <c r="AK302" t="inlineStr">
        <is>
          <t>Official rules: non-Group card types do not use normal Group control-arrow geometry.</t>
        </is>
      </c>
    </row>
    <row r="303" ht="34" customHeight="1" s="16">
      <c r="A303" s="20" t="inlineStr">
        <is>
          <t>Mutual Betrayal</t>
        </is>
      </c>
      <c r="B303" s="20" t="inlineStr">
        <is>
          <t>Plot</t>
        </is>
      </c>
      <c r="C303" s="20" t="inlineStr">
        <is>
          <t>Plot</t>
        </is>
      </c>
      <c r="D303" s="20" t="inlineStr">
        <is>
          <t>Common</t>
        </is>
      </c>
      <c r="E303" s="20" t="str"/>
      <c r="F303" s="20" t="str"/>
      <c r="G303" s="20" t="str"/>
      <c r="H303" s="20" t="str"/>
      <c r="I303" s="20" t="inlineStr">
        <is>
          <t>Played at any time with an action from one group. Choose a rival and view all of that rival's hidden Plot cards. Afterward you may expose any number of them, but for each one you expose you must also expose one of your own Plots.</t>
        </is>
      </c>
      <c r="J303" s="20" t="inlineStr">
        <is>
          <t>Needs rules-engine encoding</t>
        </is>
      </c>
      <c r="K303" s="20" t="inlineStr">
        <is>
          <t>High</t>
        </is>
      </c>
      <c r="L303" s="20" t="inlineStr">
        <is>
          <t>Exposing is optional (0 allowed).</t>
        </is>
      </c>
      <c r="M303" s="20" t="inlineStr">
        <is>
          <t>https://github.com/Cha0smagick/Virtual-Illuminati-New-World-order-INWO-game</t>
        </is>
      </c>
      <c r="N303" t="inlineStr">
        <is>
          <t>Play at any time</t>
        </is>
      </c>
      <c r="O303" t="inlineStr">
        <is>
          <t>One rival player's hidden Plots</t>
        </is>
      </c>
      <c r="P303" t="inlineStr">
        <is>
          <t>Action of one group</t>
        </is>
      </c>
      <c r="Q303" t="inlineStr">
        <is>
          <t>Immediate (exposure is lasting)</t>
        </is>
      </c>
      <c r="R303" t="inlineStr">
        <is>
          <t>Look at all hidden Plots of chosen rival; expose N of theirs by exposing N of your own</t>
        </is>
      </c>
      <c r="S303" t="inlineStr">
        <is>
          <t>NO</t>
        </is>
      </c>
      <c r="T303" t="inlineStr">
        <is>
          <t>N/A</t>
        </is>
      </c>
      <c r="U303" t="inlineStr">
        <is>
          <t>N/A</t>
        </is>
      </c>
      <c r="V303" t="inlineStr">
        <is>
          <t>N/A — INWO uses Plots instead of group income/money</t>
        </is>
      </c>
      <c r="W303" t="inlineStr">
        <is>
          <t>N/A</t>
        </is>
      </c>
      <c r="X303" t="inlineStr">
        <is>
          <t>No card-specific limit (base duplicate rules apply)</t>
        </is>
      </c>
      <c r="Y303" t="inlineStr">
        <is>
          <t>To expose N rival Plots you must have N of your own Plots to expose</t>
        </is>
      </c>
      <c r="Z303" t="inlineStr">
        <is>
          <t>Standard response window</t>
        </is>
      </c>
      <c r="AA303" t="inlineStr">
        <is>
          <t>Specific card overrides general rules</t>
        </is>
      </c>
      <c r="AB303" t="inlineStr">
        <is>
          <t>Full card scan read; behaviour paraphrased (no card text copied)</t>
        </is>
      </c>
      <c r="AC303" t="inlineStr">
        <is>
          <t>FUNCTIONALLY COMPLETE</t>
        </is>
      </c>
      <c r="AD303" t="inlineStr">
        <is>
          <t>None</t>
        </is>
      </c>
      <c r="AE303" t="inlineStr">
        <is>
          <t>Card scan (GitHub: Cha0smagick/Virtual-Illuminati-New-World-order-INWO-game), read Sep 2026</t>
        </is>
      </c>
      <c r="AF303" t="inlineStr">
        <is>
          <t>N/A</t>
        </is>
      </c>
      <c r="AG303" t="inlineStr">
        <is>
          <t>N/A</t>
        </is>
      </c>
      <c r="AH303" t="inlineStr">
        <is>
          <t>N/A</t>
        </is>
      </c>
      <c r="AI303" t="inlineStr">
        <is>
          <t>N/A</t>
        </is>
      </c>
      <c r="AJ303" t="inlineStr">
        <is>
          <t>N/A</t>
        </is>
      </c>
      <c r="AK303" t="inlineStr">
        <is>
          <t>Official rules: non-Group card types do not use normal Group control-arrow geometry.</t>
        </is>
      </c>
    </row>
    <row r="304" ht="34" customHeight="1" s="16">
      <c r="A304" s="20" t="inlineStr">
        <is>
          <t>Nationalization</t>
        </is>
      </c>
      <c r="B304" s="20" t="inlineStr">
        <is>
          <t>Plot</t>
        </is>
      </c>
      <c r="C304" s="20" t="inlineStr">
        <is>
          <t>Plot</t>
        </is>
      </c>
      <c r="D304" s="20" t="inlineStr">
        <is>
          <t>Common</t>
        </is>
      </c>
      <c r="E304" s="20" t="str"/>
      <c r="F304" s="20" t="str"/>
      <c r="G304" s="20" t="str"/>
      <c r="H304" s="20" t="str"/>
      <c r="I304" s="20" t="inlineStr">
        <is>
          <t>Played at any time using actions from your Illuminati or from Government group(s) whose combined Power equals the target's Resistance; that required total is doubled if the target is currently Corporate, and if the target belongs to a rival you add its closeness-to-Illuminati bonus. The target permanently gains the Government alignment and loses Corporate if it had it. This card stays in play linked to the target.</t>
        </is>
      </c>
      <c r="J304" s="20" t="inlineStr">
        <is>
          <t>Needs rules-engine encoding</t>
        </is>
      </c>
      <c r="K304" s="20" t="inlineStr">
        <is>
          <t>High</t>
        </is>
      </c>
      <c r="L304" s="20" t="inlineStr">
        <is>
          <t>Not a die roll; it is a Power threshold. Card does not say if Illuminati's Power must meet the threshold; 'either the Illuminati, or Government groups with total Power...' reads as the Illuminati alternative also needing that Power (ambiguous).</t>
        </is>
      </c>
      <c r="M304" s="20" t="inlineStr">
        <is>
          <t>https://github.com/Cha0smagick/Virtual-Illuminati-New-World-order-INWO-game</t>
        </is>
      </c>
      <c r="N304" t="inlineStr">
        <is>
          <t>Play at any time</t>
        </is>
      </c>
      <c r="O304" t="inlineStr">
        <is>
          <t>Any one Group (yours or a rival's)</t>
        </is>
      </c>
      <c r="P304" t="inlineStr">
        <is>
          <t>Action(s) of your Illuminati, or of Government group(s) with total Power &gt;= required amount</t>
        </is>
      </c>
      <c r="Q304" t="inlineStr">
        <is>
          <t>Permanent (card kept linked to target)</t>
        </is>
      </c>
      <c r="R304" t="inlineStr">
        <is>
          <t>Target gains Government; if Corporate, loses Corporate</t>
        </is>
      </c>
      <c r="S304" t="inlineStr">
        <is>
          <t>NO</t>
        </is>
      </c>
      <c r="T304" t="inlineStr">
        <is>
          <t>N/A</t>
        </is>
      </c>
      <c r="U304" t="inlineStr">
        <is>
          <t>N/A</t>
        </is>
      </c>
      <c r="V304" t="inlineStr">
        <is>
          <t>N/A — INWO uses Plots instead of group income/money</t>
        </is>
      </c>
      <c r="W304" t="inlineStr">
        <is>
          <t>N/A</t>
        </is>
      </c>
      <c r="X304" t="inlineStr">
        <is>
          <t>No card-specific limit (base duplicate rules apply)</t>
        </is>
      </c>
      <c r="Y304" t="inlineStr">
        <is>
          <t>Required Power = target Resistance (x2 if currently Corporate) + rival closeness bonus if owned by a rival</t>
        </is>
      </c>
      <c r="Z304" t="inlineStr">
        <is>
          <t>Standard response window</t>
        </is>
      </c>
      <c r="AA304" t="inlineStr">
        <is>
          <t>Specific card overrides general rules</t>
        </is>
      </c>
      <c r="AB304" t="inlineStr">
        <is>
          <t>Full card scan read; behaviour paraphrased (no card text copied)</t>
        </is>
      </c>
      <c r="AC304" t="inlineStr">
        <is>
          <t>FUNCTIONALLY COMPLETE</t>
        </is>
      </c>
      <c r="AD304" t="inlineStr">
        <is>
          <t>None</t>
        </is>
      </c>
      <c r="AE304" t="inlineStr">
        <is>
          <t>Card scan (GitHub: Cha0smagick/Virtual-Illuminati-New-World-order-INWO-game), read Sep 2026</t>
        </is>
      </c>
      <c r="AF304" t="inlineStr">
        <is>
          <t>N/A</t>
        </is>
      </c>
      <c r="AG304" t="inlineStr">
        <is>
          <t>N/A</t>
        </is>
      </c>
      <c r="AH304" t="inlineStr">
        <is>
          <t>N/A</t>
        </is>
      </c>
      <c r="AI304" t="inlineStr">
        <is>
          <t>N/A</t>
        </is>
      </c>
      <c r="AJ304" t="inlineStr">
        <is>
          <t>N/A</t>
        </is>
      </c>
      <c r="AK304" t="inlineStr">
        <is>
          <t>Official rules: non-Group card types do not use normal Group control-arrow geometry.</t>
        </is>
      </c>
    </row>
    <row r="305" ht="34" customHeight="1" s="16">
      <c r="A305" s="20" t="inlineStr">
        <is>
          <t>Never Surrender</t>
        </is>
      </c>
      <c r="B305" s="20" t="inlineStr">
        <is>
          <t>Plot</t>
        </is>
      </c>
      <c r="C305" s="20" t="inlineStr">
        <is>
          <t>Plot</t>
        </is>
      </c>
      <c r="D305" s="20" t="inlineStr">
        <is>
          <t>Common</t>
        </is>
      </c>
      <c r="E305" s="20" t="str"/>
      <c r="F305" s="20" t="str"/>
      <c r="G305" s="20" t="str"/>
      <c r="H305" s="20" t="str"/>
      <c r="I305" s="20" t="inlineStr">
        <is>
          <t>Free move playable at any time, including while the target is under attack. Pick one Fanatic group belonging to any player, or one that a rival has just played from hand; its Resistance becomes 12 and this card stays linked to it.</t>
        </is>
      </c>
      <c r="J305" s="20" t="inlineStr">
        <is>
          <t>Needs rules-engine encoding</t>
        </is>
      </c>
      <c r="K305" s="20" t="inlineStr">
        <is>
          <t>High</t>
        </is>
      </c>
      <c r="L305" s="20" t="inlineStr">
        <is>
          <t>Unlike Mob Influence etc., no one-per-player limit is printed.</t>
        </is>
      </c>
      <c r="M305" s="20" t="inlineStr">
        <is>
          <t>https://github.com/Cha0smagick/Virtual-Illuminati-New-World-order-INWO-game</t>
        </is>
      </c>
      <c r="N305" t="inlineStr">
        <is>
          <t>Play at any time (free move), even during an attack on the target</t>
        </is>
      </c>
      <c r="O305" t="inlineStr">
        <is>
          <t>One Fanatic group owned by any player, or one just played from a rival's hand</t>
        </is>
      </c>
      <c r="P305" t="inlineStr">
        <is>
          <t>None (free move)</t>
        </is>
      </c>
      <c r="Q305" t="inlineStr">
        <is>
          <t>Permanent while linked/in play</t>
        </is>
      </c>
      <c r="R305" t="inlineStr">
        <is>
          <t>Target Fanatic group Resistance set to 12 (increase to 12)</t>
        </is>
      </c>
      <c r="S305" t="inlineStr">
        <is>
          <t>NO</t>
        </is>
      </c>
      <c r="T305" t="inlineStr">
        <is>
          <t>N/A</t>
        </is>
      </c>
      <c r="U305" t="inlineStr">
        <is>
          <t>N/A</t>
        </is>
      </c>
      <c r="V305" t="inlineStr">
        <is>
          <t>N/A — INWO uses Plots instead of group income/money</t>
        </is>
      </c>
      <c r="W305" t="inlineStr">
        <is>
          <t>N/A</t>
        </is>
      </c>
      <c r="X305" t="inlineStr">
        <is>
          <t>No card-specific limit (base duplicate rules apply)</t>
        </is>
      </c>
      <c r="Y305" t="inlineStr">
        <is>
          <t>Target must be a Fanatic group</t>
        </is>
      </c>
      <c r="Z305" t="inlineStr">
        <is>
          <t>Can be played mid-attack as a defensive response</t>
        </is>
      </c>
      <c r="AA305" t="inlineStr">
        <is>
          <t>Specific card overrides general rules</t>
        </is>
      </c>
      <c r="AB305" t="inlineStr">
        <is>
          <t>Full card scan read; behaviour paraphrased (no card text copied)</t>
        </is>
      </c>
      <c r="AC305" t="inlineStr">
        <is>
          <t>FUNCTIONALLY COMPLETE</t>
        </is>
      </c>
      <c r="AD305" t="inlineStr">
        <is>
          <t>None</t>
        </is>
      </c>
      <c r="AE305" t="inlineStr">
        <is>
          <t>Card scan (GitHub: Cha0smagick/Virtual-Illuminati-New-World-order-INWO-game), read Sep 2026</t>
        </is>
      </c>
      <c r="AF305" t="inlineStr">
        <is>
          <t>N/A</t>
        </is>
      </c>
      <c r="AG305" t="inlineStr">
        <is>
          <t>N/A</t>
        </is>
      </c>
      <c r="AH305" t="inlineStr">
        <is>
          <t>N/A</t>
        </is>
      </c>
      <c r="AI305" t="inlineStr">
        <is>
          <t>N/A</t>
        </is>
      </c>
      <c r="AJ305" t="inlineStr">
        <is>
          <t>N/A</t>
        </is>
      </c>
      <c r="AK305" t="inlineStr">
        <is>
          <t>Official rules: non-Group card types do not use normal Group control-arrow geometry.</t>
        </is>
      </c>
    </row>
    <row r="306" ht="34" customHeight="1" s="16">
      <c r="A306" s="20" t="inlineStr">
        <is>
          <t>New Blood</t>
        </is>
      </c>
      <c r="B306" s="20" t="inlineStr">
        <is>
          <t>Plot</t>
        </is>
      </c>
      <c r="C306" s="20" t="inlineStr">
        <is>
          <t>Plot</t>
        </is>
      </c>
      <c r="D306" s="20" t="inlineStr">
        <is>
          <t>Common</t>
        </is>
      </c>
      <c r="E306" s="20" t="str"/>
      <c r="F306" s="20" t="str"/>
      <c r="G306" s="20" t="str"/>
      <c r="H306" s="20" t="str"/>
      <c r="I306" s="20" t="inlineStr">
        <is>
          <t>Played at any time; it uses up the action of the Violent group it is applied to. That Violent group's Power is raised to 6, effective immediately, and this card stays linked to it. Each player may have at most one New Blood in play.</t>
        </is>
      </c>
      <c r="J306" s="20" t="inlineStr">
        <is>
          <t>Needs rules-engine encoding</t>
        </is>
      </c>
      <c r="K306" s="20" t="inlineStr">
        <is>
          <t>High</t>
        </is>
      </c>
      <c r="L306" s="20" t="str"/>
      <c r="M306" s="20" t="inlineStr">
        <is>
          <t>https://github.com/Cha0smagick/Virtual-Illuminati-New-World-order-INWO-game</t>
        </is>
      </c>
      <c r="N306" t="inlineStr">
        <is>
          <t>Play at any time</t>
        </is>
      </c>
      <c r="O306" t="inlineStr">
        <is>
          <t>One Violent group (the group you link it to)</t>
        </is>
      </c>
      <c r="P306" t="inlineStr">
        <is>
          <t>Action of the affected Violent group</t>
        </is>
      </c>
      <c r="Q306" t="inlineStr">
        <is>
          <t>Permanent while linked/in play</t>
        </is>
      </c>
      <c r="R306" t="inlineStr">
        <is>
          <t>Target Violent group Power set to 6 (increase to 6), immediate</t>
        </is>
      </c>
      <c r="S306" t="inlineStr">
        <is>
          <t>NO</t>
        </is>
      </c>
      <c r="T306" t="inlineStr">
        <is>
          <t>N/A</t>
        </is>
      </c>
      <c r="U306" t="inlineStr">
        <is>
          <t>N/A</t>
        </is>
      </c>
      <c r="V306" t="inlineStr">
        <is>
          <t>N/A — INWO uses Plots instead of group income/money</t>
        </is>
      </c>
      <c r="W306" t="inlineStr">
        <is>
          <t>N/A</t>
        </is>
      </c>
      <c r="X306" t="inlineStr">
        <is>
          <t>Limit per player: a single copy on the table</t>
        </is>
      </c>
      <c r="Y306" t="inlineStr">
        <is>
          <t>Target must be a Violent group; affected group must have its action available</t>
        </is>
      </c>
      <c r="Z306" t="inlineStr">
        <is>
          <t>Standard response window</t>
        </is>
      </c>
      <c r="AA306" t="inlineStr">
        <is>
          <t>Specific card overrides general rules</t>
        </is>
      </c>
      <c r="AB306" t="inlineStr">
        <is>
          <t>Full card scan read; behaviour paraphrased (no card text copied)</t>
        </is>
      </c>
      <c r="AC306" t="inlineStr">
        <is>
          <t>FUNCTIONALLY COMPLETE</t>
        </is>
      </c>
      <c r="AD306" t="inlineStr">
        <is>
          <t>None</t>
        </is>
      </c>
      <c r="AE306" t="inlineStr">
        <is>
          <t>Card scan (GitHub: Cha0smagick/Virtual-Illuminati-New-World-order-INWO-game), read Sep 2026</t>
        </is>
      </c>
      <c r="AF306" t="inlineStr">
        <is>
          <t>N/A</t>
        </is>
      </c>
      <c r="AG306" t="inlineStr">
        <is>
          <t>N/A</t>
        </is>
      </c>
      <c r="AH306" t="inlineStr">
        <is>
          <t>N/A</t>
        </is>
      </c>
      <c r="AI306" t="inlineStr">
        <is>
          <t>N/A</t>
        </is>
      </c>
      <c r="AJ306" t="inlineStr">
        <is>
          <t>N/A</t>
        </is>
      </c>
      <c r="AK306" t="inlineStr">
        <is>
          <t>Official rules: non-Group card types do not use normal Group control-arrow geometry.</t>
        </is>
      </c>
    </row>
    <row r="307" ht="34" customHeight="1" s="16">
      <c r="A307" s="20" t="inlineStr">
        <is>
          <t>New Federal Budget</t>
        </is>
      </c>
      <c r="B307" s="20" t="inlineStr">
        <is>
          <t>Plot</t>
        </is>
      </c>
      <c r="C307" s="20" t="inlineStr">
        <is>
          <t>Plot</t>
        </is>
      </c>
      <c r="D307" s="20" t="inlineStr">
        <is>
          <t>Uncommon</t>
        </is>
      </c>
      <c r="E307" s="20" t="str"/>
      <c r="F307" s="20" t="str"/>
      <c r="G307" s="20" t="str"/>
      <c r="H307" s="20" t="str"/>
      <c r="I307" s="20" t="inlineStr">
        <is>
          <t>Play at any time by spending your Illuminati's action. Give an Action token to Government groups of yours that have none: several whose Power adds up to 5 or less, or any single one. Groups captured this turn, or barred from receiving Action tokens by a card or special ability, cannot be chosen. (Official correction applied.)</t>
        </is>
      </c>
      <c r="J307" s="20" t="inlineStr">
        <is>
          <t>Needs rules-engine encoding</t>
        </is>
      </c>
      <c r="K307" s="20" t="inlineStr">
        <is>
          <t>High</t>
        </is>
      </c>
      <c r="L307" s="20" t="inlineStr">
        <is>
          <t>Does not stack a second token on groups that already have one.</t>
        </is>
      </c>
      <c r="M307" s="20" t="inlineStr">
        <is>
          <t>https://github.com/Cha0smagick/Virtual-Illuminati-New-World-order-INWO-game</t>
        </is>
      </c>
      <c r="N307" t="inlineStr">
        <is>
          <t>Play at any time</t>
        </is>
      </c>
      <c r="O307" t="inlineStr">
        <is>
          <t>Your Government groups without an Action token, not captured this turn: up to 5 total Power, or any one group</t>
        </is>
      </c>
      <c r="P307" t="inlineStr">
        <is>
          <t>1 Illuminati action (errata)</t>
        </is>
      </c>
      <c r="Q307" t="inlineStr">
        <is>
          <t>Immediate</t>
        </is>
      </c>
      <c r="R307" t="inlineStr">
        <is>
          <t>Chosen Government groups of yours with no Action token gain one (5 total Power at most, or a single group of any Power)</t>
        </is>
      </c>
      <c r="S307" t="inlineStr">
        <is>
          <t>NO</t>
        </is>
      </c>
      <c r="T307" t="inlineStr">
        <is>
          <t>N/A</t>
        </is>
      </c>
      <c r="U307" t="inlineStr">
        <is>
          <t>N/A</t>
        </is>
      </c>
      <c r="V307" t="inlineStr">
        <is>
          <t>N/A — INWO uses Plots instead of group income/money</t>
        </is>
      </c>
      <c r="W307" t="inlineStr">
        <is>
          <t>N/A</t>
        </is>
      </c>
      <c r="X307" t="inlineStr">
        <is>
          <t>No card-specific limit (base duplicate rules apply)</t>
        </is>
      </c>
      <c r="Y307" t="inlineStr">
        <is>
          <t>None beyond base rules</t>
        </is>
      </c>
      <c r="Z307" t="inlineStr">
        <is>
          <t>Standard response window</t>
        </is>
      </c>
      <c r="AA307" t="inlineStr">
        <is>
          <t>Specific card overrides general rules</t>
        </is>
      </c>
      <c r="AB307" t="inlineStr">
        <is>
          <t>Full card scan read; behaviour paraphrased (no card text copied)</t>
        </is>
      </c>
      <c r="AC307" t="inlineStr">
        <is>
          <t>FUNCTIONALLY COMPLETE</t>
        </is>
      </c>
      <c r="AD307" t="inlineStr">
        <is>
          <t>None</t>
        </is>
      </c>
      <c r="AE307" t="inlineStr">
        <is>
          <t>Card scan (GitHub: Cha0smagick/Virtual-Illuminati-New-World-order-INWO-game), read Sep 2026</t>
        </is>
      </c>
      <c r="AF307" t="inlineStr">
        <is>
          <t>N/A</t>
        </is>
      </c>
      <c r="AG307" t="inlineStr">
        <is>
          <t>N/A</t>
        </is>
      </c>
      <c r="AH307" t="inlineStr">
        <is>
          <t>N/A</t>
        </is>
      </c>
      <c r="AI307" t="inlineStr">
        <is>
          <t>N/A</t>
        </is>
      </c>
      <c r="AJ307" t="inlineStr">
        <is>
          <t>N/A</t>
        </is>
      </c>
      <c r="AK307" t="inlineStr">
        <is>
          <t>Official rules: non-Group card types do not use normal Group control-arrow geometry.</t>
        </is>
      </c>
    </row>
    <row r="308" ht="34" customHeight="1" s="16">
      <c r="A308" s="20" t="inlineStr">
        <is>
          <t>Nice Idea, It's Mine Now!</t>
        </is>
      </c>
      <c r="B308" s="20" t="inlineStr">
        <is>
          <t>Plot</t>
        </is>
      </c>
      <c r="C308" s="20" t="inlineStr">
        <is>
          <t>Plot</t>
        </is>
      </c>
      <c r="D308" s="20" t="inlineStr">
        <is>
          <t>Rare</t>
        </is>
      </c>
      <c r="E308" s="20" t="str"/>
      <c r="F308" s="20" t="str"/>
      <c r="G308" s="20" t="str"/>
      <c r="H308" s="20" t="str"/>
      <c r="I308" s="20" t="inlineStr">
        <is>
          <t>On your turn only, spend your Illuminati's action against a rival showing an exposed Goal card. Take that Goal and set it face up in front of you; it is your Goal from now on.</t>
        </is>
      </c>
      <c r="J308" s="20" t="inlineStr">
        <is>
          <t>Needs rules-engine encoding</t>
        </is>
      </c>
      <c r="K308" s="20" t="inlineStr">
        <is>
          <t>High</t>
        </is>
      </c>
      <c r="L308" s="20" t="inlineStr">
        <is>
          <t>Printed title is 'Nice Idea. It's Mine Now.' The Goal need not have been just played; any exposed rival Goal qualifies.</t>
        </is>
      </c>
      <c r="M308" s="20" t="inlineStr">
        <is>
          <t>https://github.com/Cha0smagick/Virtual-Illuminati-New-World-order-INWO-game</t>
        </is>
      </c>
      <c r="N308" t="inlineStr">
        <is>
          <t>Your turn only</t>
        </is>
      </c>
      <c r="O308" t="inlineStr">
        <is>
          <t>One exposed Goal card of a rival</t>
        </is>
      </c>
      <c r="P308" t="inlineStr">
        <is>
          <t>1 Illuminati action</t>
        </is>
      </c>
      <c r="Q308" t="inlineStr">
        <is>
          <t>Permanent</t>
        </is>
      </c>
      <c r="R308" t="inlineStr">
        <is>
          <t>Transfer rival's exposed Goal to you, remains exposed</t>
        </is>
      </c>
      <c r="S308" t="inlineStr">
        <is>
          <t>NO</t>
        </is>
      </c>
      <c r="T308" t="inlineStr">
        <is>
          <t>N/A</t>
        </is>
      </c>
      <c r="U308" t="inlineStr">
        <is>
          <t>N/A</t>
        </is>
      </c>
      <c r="V308" t="inlineStr">
        <is>
          <t>N/A — INWO uses Plots instead of group income/money</t>
        </is>
      </c>
      <c r="W308" t="inlineStr">
        <is>
          <t>N/A</t>
        </is>
      </c>
      <c r="X308" t="inlineStr">
        <is>
          <t>No card-specific limit (base duplicate rules apply)</t>
        </is>
      </c>
      <c r="Y308" t="inlineStr">
        <is>
          <t>A rival must have an exposed Goal; must be your turn</t>
        </is>
      </c>
      <c r="Z308" t="inlineStr">
        <is>
          <t>Standard response window</t>
        </is>
      </c>
      <c r="AA308" t="inlineStr">
        <is>
          <t>Specific card overrides general rules</t>
        </is>
      </c>
      <c r="AB308" t="inlineStr">
        <is>
          <t>Full card scan read; behaviour paraphrased (no card text copied)</t>
        </is>
      </c>
      <c r="AC308" t="inlineStr">
        <is>
          <t>FUNCTIONALLY COMPLETE</t>
        </is>
      </c>
      <c r="AD308" t="inlineStr">
        <is>
          <t>None</t>
        </is>
      </c>
      <c r="AE308" t="inlineStr">
        <is>
          <t>Card scan (GitHub: Cha0smagick/Virtual-Illuminati-New-World-order-INWO-game), read Sep 2026</t>
        </is>
      </c>
      <c r="AF308" t="inlineStr">
        <is>
          <t>N/A</t>
        </is>
      </c>
      <c r="AG308" t="inlineStr">
        <is>
          <t>N/A</t>
        </is>
      </c>
      <c r="AH308" t="inlineStr">
        <is>
          <t>N/A</t>
        </is>
      </c>
      <c r="AI308" t="inlineStr">
        <is>
          <t>N/A</t>
        </is>
      </c>
      <c r="AJ308" t="inlineStr">
        <is>
          <t>N/A</t>
        </is>
      </c>
      <c r="AK308" t="inlineStr">
        <is>
          <t>Official rules: non-Group card types do not use normal Group control-arrow geometry.</t>
        </is>
      </c>
    </row>
    <row r="309" ht="34" customHeight="1" s="16">
      <c r="A309" s="20" t="inlineStr">
        <is>
          <t>Nobel Peace Prize</t>
        </is>
      </c>
      <c r="B309" s="20" t="inlineStr">
        <is>
          <t>Plot</t>
        </is>
      </c>
      <c r="C309" s="20" t="inlineStr">
        <is>
          <t>Plot</t>
        </is>
      </c>
      <c r="D309" s="20" t="inlineStr">
        <is>
          <t>Common</t>
        </is>
      </c>
      <c r="E309" s="20" t="str"/>
      <c r="F309" s="20" t="str"/>
      <c r="G309" s="20" t="str"/>
      <c r="H309" s="20" t="str"/>
      <c r="I309" s="20" t="inlineStr">
        <is>
          <t>Played at any time; it uses up the action of the Peaceful group it is applied to. That Peaceful group's Power is raised to 6, effective immediately, and this card stays linked to it. Each player may have at most one Nobel Peace Prize in play.</t>
        </is>
      </c>
      <c r="J309" s="20" t="inlineStr">
        <is>
          <t>Needs rules-engine encoding</t>
        </is>
      </c>
      <c r="K309" s="20" t="inlineStr">
        <is>
          <t>High</t>
        </is>
      </c>
      <c r="L309" s="20" t="str"/>
      <c r="M309" s="20" t="inlineStr">
        <is>
          <t>https://github.com/Cha0smagick/Virtual-Illuminati-New-World-order-INWO-game</t>
        </is>
      </c>
      <c r="N309" t="inlineStr">
        <is>
          <t>Play at any time</t>
        </is>
      </c>
      <c r="O309" t="inlineStr">
        <is>
          <t>One Peaceful group (the group you link it to)</t>
        </is>
      </c>
      <c r="P309" t="inlineStr">
        <is>
          <t>Action of the affected Peaceful group</t>
        </is>
      </c>
      <c r="Q309" t="inlineStr">
        <is>
          <t>Permanent while linked/in play</t>
        </is>
      </c>
      <c r="R309" t="inlineStr">
        <is>
          <t>Target Peaceful group Power set to 6 (increase to 6), immediate</t>
        </is>
      </c>
      <c r="S309" t="inlineStr">
        <is>
          <t>NO</t>
        </is>
      </c>
      <c r="T309" t="inlineStr">
        <is>
          <t>N/A</t>
        </is>
      </c>
      <c r="U309" t="inlineStr">
        <is>
          <t>N/A</t>
        </is>
      </c>
      <c r="V309" t="inlineStr">
        <is>
          <t>N/A — INWO uses Plots instead of group income/money</t>
        </is>
      </c>
      <c r="W309" t="inlineStr">
        <is>
          <t>N/A</t>
        </is>
      </c>
      <c r="X309" t="inlineStr">
        <is>
          <t>Limit per player: a single copy on the table</t>
        </is>
      </c>
      <c r="Y309" t="inlineStr">
        <is>
          <t>Target must be a Peaceful group; affected group must have its action available</t>
        </is>
      </c>
      <c r="Z309" t="inlineStr">
        <is>
          <t>Standard response window</t>
        </is>
      </c>
      <c r="AA309" t="inlineStr">
        <is>
          <t>Specific card overrides general rules</t>
        </is>
      </c>
      <c r="AB309" t="inlineStr">
        <is>
          <t>Full card scan read; behaviour paraphrased (no card text copied)</t>
        </is>
      </c>
      <c r="AC309" t="inlineStr">
        <is>
          <t>FUNCTIONALLY COMPLETE</t>
        </is>
      </c>
      <c r="AD309" t="inlineStr">
        <is>
          <t>None</t>
        </is>
      </c>
      <c r="AE309" t="inlineStr">
        <is>
          <t>Card scan (GitHub: Cha0smagick/Virtual-Illuminati-New-World-order-INWO-game), read Sep 2026</t>
        </is>
      </c>
      <c r="AF309" t="inlineStr">
        <is>
          <t>N/A</t>
        </is>
      </c>
      <c r="AG309" t="inlineStr">
        <is>
          <t>N/A</t>
        </is>
      </c>
      <c r="AH309" t="inlineStr">
        <is>
          <t>N/A</t>
        </is>
      </c>
      <c r="AI309" t="inlineStr">
        <is>
          <t>N/A</t>
        </is>
      </c>
      <c r="AJ309" t="inlineStr">
        <is>
          <t>N/A</t>
        </is>
      </c>
      <c r="AK309" t="inlineStr">
        <is>
          <t>Official rules: non-Group card types do not use normal Group control-arrow geometry.</t>
        </is>
      </c>
    </row>
    <row r="310" ht="34" customHeight="1" s="16">
      <c r="A310" s="20" t="inlineStr">
        <is>
          <t>Nuclear Accident</t>
        </is>
      </c>
      <c r="B310" s="20" t="inlineStr">
        <is>
          <t>Plot</t>
        </is>
      </c>
      <c r="C310" s="20" t="inlineStr">
        <is>
          <t>Disaster</t>
        </is>
      </c>
      <c r="D310" s="20" t="inlineStr">
        <is>
          <t>Common</t>
        </is>
      </c>
      <c r="E310" s="20" t="inlineStr">
        <is>
          <t>14 vs Huge Place / 18 vs other Places</t>
        </is>
      </c>
      <c r="F310" s="20" t="str"/>
      <c r="G310" s="20" t="str"/>
      <c r="H310" s="20" t="str"/>
      <c r="I310" s="20" t="inlineStr">
        <is>
          <t>Disaster. An Instant Attack to Destroy against any Place with no action needed; Power is 14 versus a Huge Place and 18 versus any other Place. On success the Place is Devastated; if the roll beats the needed number by more than 4 it is destroyed outright. Whenever this is played on any Place, the Nuclear Power Companies group loses its action token.</t>
        </is>
      </c>
      <c r="J310" s="20" t="inlineStr">
        <is>
          <t>Needs rules-engine encoding</t>
        </is>
      </c>
      <c r="K310" s="20" t="inlineStr">
        <is>
          <t>High</t>
        </is>
      </c>
      <c r="L310" s="20" t="inlineStr">
        <is>
          <t>Nuclear Power Companies side effect applies to whoever controls that group, whenever the card is played on a Place.</t>
        </is>
      </c>
      <c r="M310" s="20" t="inlineStr">
        <is>
          <t>https://github.com/Cha0smagick/Virtual-Illuminati-New-World-order-INWO-game</t>
        </is>
      </c>
      <c r="N310" t="inlineStr">
        <is>
          <t>Play at any time (Instant Attack)</t>
        </is>
      </c>
      <c r="O310" t="inlineStr">
        <is>
          <t>Any one Place</t>
        </is>
      </c>
      <c r="P310" t="inlineStr">
        <is>
          <t>None (no action required)</t>
        </is>
      </c>
      <c r="Q310" t="inlineStr">
        <is>
          <t>Immediate</t>
        </is>
      </c>
      <c r="R310" t="inlineStr">
        <is>
          <t>Attack to Destroy at Power 14 (Huge) or 18 (other); success = Devastated; margin &gt; 4 = destroyed; Nuclear Power Companies lose action token</t>
        </is>
      </c>
      <c r="S310" t="inlineStr">
        <is>
          <t>NO</t>
        </is>
      </c>
      <c r="T310" t="inlineStr">
        <is>
          <t>N/A</t>
        </is>
      </c>
      <c r="U310" t="inlineStr">
        <is>
          <t>N/A</t>
        </is>
      </c>
      <c r="V310" t="inlineStr">
        <is>
          <t>N/A — INWO uses Plots instead of group income/money</t>
        </is>
      </c>
      <c r="W310" t="inlineStr">
        <is>
          <t>N/A</t>
        </is>
      </c>
      <c r="X310" t="inlineStr">
        <is>
          <t>No card-specific limit (base duplicate rules apply)</t>
        </is>
      </c>
      <c r="Y310" t="inlineStr">
        <is>
          <t>Target must be a Place</t>
        </is>
      </c>
      <c r="Z310" t="inlineStr">
        <is>
          <t>Standard response window</t>
        </is>
      </c>
      <c r="AA310" t="inlineStr">
        <is>
          <t>Specific card overrides general rules</t>
        </is>
      </c>
      <c r="AB310" t="inlineStr">
        <is>
          <t>Full card scan read; behaviour paraphrased (no card text copied)</t>
        </is>
      </c>
      <c r="AC310" t="inlineStr">
        <is>
          <t>FUNCTIONALLY COMPLETE</t>
        </is>
      </c>
      <c r="AD310" t="inlineStr">
        <is>
          <t>None</t>
        </is>
      </c>
      <c r="AE310" t="inlineStr">
        <is>
          <t>Card scan (GitHub: Cha0smagick/Virtual-Illuminati-New-World-order-INWO-game), read Sep 2026</t>
        </is>
      </c>
      <c r="AF310" t="inlineStr">
        <is>
          <t>N/A</t>
        </is>
      </c>
      <c r="AG310" t="inlineStr">
        <is>
          <t>N/A</t>
        </is>
      </c>
      <c r="AH310" t="inlineStr">
        <is>
          <t>N/A</t>
        </is>
      </c>
      <c r="AI310" t="inlineStr">
        <is>
          <t>N/A</t>
        </is>
      </c>
      <c r="AJ310" t="inlineStr">
        <is>
          <t>N/A</t>
        </is>
      </c>
      <c r="AK310" t="inlineStr">
        <is>
          <t>Official rules: non-Group card types do not use normal Group control-arrow geometry.</t>
        </is>
      </c>
    </row>
    <row r="311" ht="34" customHeight="1" s="16">
      <c r="A311" s="20" t="inlineStr">
        <is>
          <t>Opportunity Knocks</t>
        </is>
      </c>
      <c r="B311" s="20" t="inlineStr">
        <is>
          <t>Plot</t>
        </is>
      </c>
      <c r="C311" s="20" t="inlineStr">
        <is>
          <t>Plot</t>
        </is>
      </c>
      <c r="D311" s="20" t="inlineStr">
        <is>
          <t>Rare</t>
        </is>
      </c>
      <c r="E311" s="20" t="str"/>
      <c r="F311" s="20" t="str"/>
      <c r="G311" s="20" t="str"/>
      <c r="H311" s="20" t="str"/>
      <c r="I311" s="20" t="inlineStr">
        <is>
          <t>Play when a rival's Group, played from his hand, fails its takeover and is discarded. You may immediately attack that Group, out of turn, to Control or Destroy it at +5, with your current Action tokens and Plots; other players may help you. Afterwards the rival resumes his turn.</t>
        </is>
      </c>
      <c r="J311" s="20" t="inlineStr">
        <is>
          <t>Needs rules-engine encoding</t>
        </is>
      </c>
      <c r="K311" s="20" t="inlineStr">
        <is>
          <t>High</t>
        </is>
      </c>
      <c r="L311" s="20" t="str"/>
      <c r="M311" s="20" t="inlineStr">
        <is>
          <t>https://github.com/Cha0smagick/Virtual-Illuminati-New-World-order-INWO-game</t>
        </is>
      </c>
      <c r="N311" t="inlineStr">
        <is>
          <t>After a rival's failed takeover of a Group played from his hand, when he discards it</t>
        </is>
      </c>
      <c r="O311" t="inlineStr">
        <is>
          <t>The Group just discarded by the rival</t>
        </is>
      </c>
      <c r="P311" t="inlineStr">
        <is>
          <t>None for the card; the attack uses your normal Action tokens</t>
        </is>
      </c>
      <c r="Q311" t="inlineStr">
        <is>
          <t>Single attack, immediate</t>
        </is>
      </c>
      <c r="R311" t="inlineStr">
        <is>
          <t>One out-of-turn Attack to Control or Destroy on that group at +5; others may aid</t>
        </is>
      </c>
      <c r="S311" t="inlineStr">
        <is>
          <t>NO</t>
        </is>
      </c>
      <c r="T311" t="inlineStr">
        <is>
          <t>N/A</t>
        </is>
      </c>
      <c r="U311" t="inlineStr">
        <is>
          <t>N/A</t>
        </is>
      </c>
      <c r="V311" t="inlineStr">
        <is>
          <t>N/A — INWO uses Plots instead of group income/money</t>
        </is>
      </c>
      <c r="W311" t="inlineStr">
        <is>
          <t>N/A</t>
        </is>
      </c>
      <c r="X311" t="inlineStr">
        <is>
          <t>No card-specific limit (base duplicate rules apply)</t>
        </is>
      </c>
      <c r="Y311" t="inlineStr">
        <is>
          <t>A rival must have played a group from hand, failed to take it over and discarded it</t>
        </is>
      </c>
      <c r="Z311" t="inlineStr">
        <is>
          <t>Standard response window; other players may assist the attack</t>
        </is>
      </c>
      <c r="AA311" t="inlineStr">
        <is>
          <t>Specific card overrides general rules</t>
        </is>
      </c>
      <c r="AB311" t="inlineStr">
        <is>
          <t>Full card scan read; behaviour paraphrased (no card text copied)</t>
        </is>
      </c>
      <c r="AC311" t="inlineStr">
        <is>
          <t>FUNCTIONALLY COMPLETE</t>
        </is>
      </c>
      <c r="AD311" t="inlineStr">
        <is>
          <t>None</t>
        </is>
      </c>
      <c r="AE311" t="inlineStr">
        <is>
          <t>Card scan (GitHub: Cha0smagick/Virtual-Illuminati-New-World-order-INWO-game), read Sep 2026</t>
        </is>
      </c>
      <c r="AF311" t="inlineStr">
        <is>
          <t>N/A</t>
        </is>
      </c>
      <c r="AG311" t="inlineStr">
        <is>
          <t>N/A</t>
        </is>
      </c>
      <c r="AH311" t="inlineStr">
        <is>
          <t>N/A</t>
        </is>
      </c>
      <c r="AI311" t="inlineStr">
        <is>
          <t>N/A</t>
        </is>
      </c>
      <c r="AJ311" t="inlineStr">
        <is>
          <t>N/A</t>
        </is>
      </c>
      <c r="AK311" t="inlineStr">
        <is>
          <t>Official rules: non-Group card types do not use normal Group control-arrow geometry.</t>
        </is>
      </c>
    </row>
    <row r="312" ht="34" customHeight="1" s="16">
      <c r="A312" s="20" t="inlineStr">
        <is>
          <t>Payoff</t>
        </is>
      </c>
      <c r="B312" s="20" t="inlineStr">
        <is>
          <t>Plot</t>
        </is>
      </c>
      <c r="C312" s="20" t="inlineStr">
        <is>
          <t>Plot</t>
        </is>
      </c>
      <c r="D312" s="20" t="inlineStr">
        <is>
          <t>Common</t>
        </is>
      </c>
      <c r="E312" s="20" t="str"/>
      <c r="F312" s="20" t="str"/>
      <c r="G312" s="20" t="str"/>
      <c r="H312" s="20" t="str"/>
      <c r="I312" s="20" t="inlineStr">
        <is>
          <t>Played right when a rival plays a duplicate card of any Group you control. The rival must discard that duplicate Group card.</t>
        </is>
      </c>
      <c r="J312" s="20" t="inlineStr">
        <is>
          <t>Needs rules-engine encoding</t>
        </is>
      </c>
      <c r="K312" s="20" t="inlineStr">
        <is>
          <t>High</t>
        </is>
      </c>
      <c r="L312" s="20" t="str"/>
      <c r="M312" s="20" t="inlineStr">
        <is>
          <t>https://github.com/Cha0smagick/Virtual-Illuminati-New-World-order-INWO-game</t>
        </is>
      </c>
      <c r="N312" t="inlineStr">
        <is>
          <t>Immediately when a rival plays a duplicate of your Group</t>
        </is>
      </c>
      <c r="O312" t="inlineStr">
        <is>
          <t>The rival's duplicate Group card</t>
        </is>
      </c>
      <c r="P312" t="inlineStr">
        <is>
          <t>None</t>
        </is>
      </c>
      <c r="Q312" t="inlineStr">
        <is>
          <t>Immediate</t>
        </is>
      </c>
      <c r="R312" t="inlineStr">
        <is>
          <t>Rival's duplicate Group card discarded</t>
        </is>
      </c>
      <c r="S312" t="inlineStr">
        <is>
          <t>NO</t>
        </is>
      </c>
      <c r="T312" t="inlineStr">
        <is>
          <t>N/A</t>
        </is>
      </c>
      <c r="U312" t="inlineStr">
        <is>
          <t>N/A</t>
        </is>
      </c>
      <c r="V312" t="inlineStr">
        <is>
          <t>N/A — INWO uses Plots instead of group income/money</t>
        </is>
      </c>
      <c r="W312" t="inlineStr">
        <is>
          <t>N/A</t>
        </is>
      </c>
      <c r="X312" t="inlineStr">
        <is>
          <t>No card-specific limit (base duplicate rules apply)</t>
        </is>
      </c>
      <c r="Y312" t="inlineStr">
        <is>
          <t>A rival must have just played a duplicate of a Group you control</t>
        </is>
      </c>
      <c r="Z312" t="inlineStr">
        <is>
          <t>Standard response window</t>
        </is>
      </c>
      <c r="AA312" t="inlineStr">
        <is>
          <t>Specific card overrides general rules</t>
        </is>
      </c>
      <c r="AB312" t="inlineStr">
        <is>
          <t>Full card scan read; behaviour paraphrased (no card text copied)</t>
        </is>
      </c>
      <c r="AC312" t="inlineStr">
        <is>
          <t>FUNCTIONALLY COMPLETE</t>
        </is>
      </c>
      <c r="AD312" t="inlineStr">
        <is>
          <t>None</t>
        </is>
      </c>
      <c r="AE312" t="inlineStr">
        <is>
          <t>Card scan (GitHub: Cha0smagick/Virtual-Illuminati-New-World-order-INWO-game), read Sep 2026</t>
        </is>
      </c>
      <c r="AF312" t="inlineStr">
        <is>
          <t>N/A</t>
        </is>
      </c>
      <c r="AG312" t="inlineStr">
        <is>
          <t>N/A</t>
        </is>
      </c>
      <c r="AH312" t="inlineStr">
        <is>
          <t>N/A</t>
        </is>
      </c>
      <c r="AI312" t="inlineStr">
        <is>
          <t>N/A</t>
        </is>
      </c>
      <c r="AJ312" t="inlineStr">
        <is>
          <t>N/A</t>
        </is>
      </c>
      <c r="AK312" t="inlineStr">
        <is>
          <t>Official rules: non-Group card types do not use normal Group control-arrow geometry.</t>
        </is>
      </c>
    </row>
    <row r="313" ht="34" customHeight="1" s="16">
      <c r="A313" s="20" t="inlineStr">
        <is>
          <t>Plague of Demons</t>
        </is>
      </c>
      <c r="B313" s="20" t="inlineStr">
        <is>
          <t>Plot</t>
        </is>
      </c>
      <c r="C313" s="20" t="inlineStr">
        <is>
          <t>Disaster</t>
        </is>
      </c>
      <c r="D313" s="20" t="inlineStr">
        <is>
          <t>Rare</t>
        </is>
      </c>
      <c r="E313" s="20" t="inlineStr">
        <is>
          <t>10 + Power of the Magic group used</t>
        </is>
      </c>
      <c r="F313" s="20" t="str"/>
      <c r="G313" s="20" t="str"/>
      <c r="H313" s="20" t="str"/>
      <c r="I313" s="20" t="inlineStr">
        <is>
          <t>Disaster. Option 1: an Instant Attack to Destroy any non-Huge Place, spending an action from a Magic group; Power is 10 plus that Magic group's Power. On success the Place is Devastated; if the roll beats the needed number by more than 5 it is destroyed outright. Option 2: discard the card to give +10 to an attack to destroy any Magic group.</t>
        </is>
      </c>
      <c r="J313" s="20" t="inlineStr">
        <is>
          <t>Needs rules-engine encoding</t>
        </is>
      </c>
      <c r="K313" s="20" t="inlineStr">
        <is>
          <t>High</t>
        </is>
      </c>
      <c r="L313" s="20" t="inlineStr">
        <is>
          <t>Bottom banner: 'May Require Magic Action'. Destruction threshold is more than 5 (not 4).</t>
        </is>
      </c>
      <c r="M313" s="20" t="inlineStr">
        <is>
          <t>https://github.com/Cha0smagick/Virtual-Illuminati-New-World-order-INWO-game</t>
        </is>
      </c>
      <c r="N313" t="inlineStr">
        <is>
          <t>Play at any time (Instant Attack), or when making an attack to destroy a Magic group</t>
        </is>
      </c>
      <c r="O313" t="inlineStr">
        <is>
          <t>Option 1: any Place that is not Huge; Option 2: an attack to destroy any Magic group</t>
        </is>
      </c>
      <c r="P313" t="inlineStr">
        <is>
          <t>Option 1: action of one Magic group; Option 2: none beyond the card</t>
        </is>
      </c>
      <c r="Q313" t="inlineStr">
        <is>
          <t>Immediate</t>
        </is>
      </c>
      <c r="R313" t="inlineStr">
        <is>
          <t>Opt 1: Attack to Destroy at 10 + Magic group Power; success = Devastated; margin &gt; 5 = destroyed. Opt 2: +10 to destroy a Magic group</t>
        </is>
      </c>
      <c r="S313" t="inlineStr">
        <is>
          <t>NO</t>
        </is>
      </c>
      <c r="T313" t="inlineStr">
        <is>
          <t>N/A</t>
        </is>
      </c>
      <c r="U313" t="inlineStr">
        <is>
          <t>N/A</t>
        </is>
      </c>
      <c r="V313" t="inlineStr">
        <is>
          <t>N/A — INWO uses Plots instead of group income/money</t>
        </is>
      </c>
      <c r="W313" t="inlineStr">
        <is>
          <t>N/A</t>
        </is>
      </c>
      <c r="X313" t="inlineStr">
        <is>
          <t>No card-specific limit (base duplicate rules apply)</t>
        </is>
      </c>
      <c r="Y313" t="inlineStr">
        <is>
          <t>Option 1 requires a Magic group with an action and a non-Huge Place target</t>
        </is>
      </c>
      <c r="Z313" t="inlineStr">
        <is>
          <t>Standard response window</t>
        </is>
      </c>
      <c r="AA313" t="inlineStr">
        <is>
          <t>Specific card overrides general rules</t>
        </is>
      </c>
      <c r="AB313" t="inlineStr">
        <is>
          <t>Full card scan read; behaviour paraphrased (no card text copied)</t>
        </is>
      </c>
      <c r="AC313" t="inlineStr">
        <is>
          <t>FUNCTIONALLY COMPLETE</t>
        </is>
      </c>
      <c r="AD313" t="inlineStr">
        <is>
          <t>None</t>
        </is>
      </c>
      <c r="AE313" t="inlineStr">
        <is>
          <t>Card scan (GitHub: Cha0smagick/Virtual-Illuminati-New-World-order-INWO-game), read Sep 2026</t>
        </is>
      </c>
      <c r="AF313" t="inlineStr">
        <is>
          <t>N/A</t>
        </is>
      </c>
      <c r="AG313" t="inlineStr">
        <is>
          <t>N/A</t>
        </is>
      </c>
      <c r="AH313" t="inlineStr">
        <is>
          <t>N/A</t>
        </is>
      </c>
      <c r="AI313" t="inlineStr">
        <is>
          <t>N/A</t>
        </is>
      </c>
      <c r="AJ313" t="inlineStr">
        <is>
          <t>N/A</t>
        </is>
      </c>
      <c r="AK313" t="inlineStr">
        <is>
          <t>Official rules: non-Group card types do not use normal Group control-arrow geometry.</t>
        </is>
      </c>
    </row>
    <row r="314" ht="34" customHeight="1" s="16">
      <c r="A314" s="20" t="inlineStr">
        <is>
          <t>Pledge Drive</t>
        </is>
      </c>
      <c r="B314" s="20" t="inlineStr">
        <is>
          <t>Plot</t>
        </is>
      </c>
      <c r="C314" s="20" t="inlineStr">
        <is>
          <t>Plot</t>
        </is>
      </c>
      <c r="D314" s="20" t="inlineStr">
        <is>
          <t>Uncommon</t>
        </is>
      </c>
      <c r="E314" s="20" t="str"/>
      <c r="F314" s="20" t="str"/>
      <c r="G314" s="20" t="str"/>
      <c r="H314" s="20" t="str"/>
      <c r="I314" s="20" t="inlineStr">
        <is>
          <t>Play at any time by spending your Illuminati's action. Give an Action token to Liberal groups of yours that have none: several whose Power adds up to 5 or less, or any single one. Groups captured this turn, or barred from receiving Action tokens by a card or special ability, cannot be chosen. (Official correction applied.)</t>
        </is>
      </c>
      <c r="J314" s="20" t="inlineStr">
        <is>
          <t>Needs rules-engine encoding</t>
        </is>
      </c>
      <c r="K314" s="20" t="inlineStr">
        <is>
          <t>High</t>
        </is>
      </c>
      <c r="L314" s="20" t="str"/>
      <c r="M314" s="20" t="inlineStr">
        <is>
          <t>https://github.com/Cha0smagick/Virtual-Illuminati-New-World-order-INWO-game</t>
        </is>
      </c>
      <c r="N314" t="inlineStr">
        <is>
          <t>Play at any time</t>
        </is>
      </c>
      <c r="O314" t="inlineStr">
        <is>
          <t>Your Liberal groups without an Action token, not captured this turn: up to 5 total Power, or any one group</t>
        </is>
      </c>
      <c r="P314" t="inlineStr">
        <is>
          <t>1 Illuminati action (errata)</t>
        </is>
      </c>
      <c r="Q314" t="inlineStr">
        <is>
          <t>Immediate</t>
        </is>
      </c>
      <c r="R314" t="inlineStr">
        <is>
          <t>Chosen Liberal groups of yours with no Action token gain one (5 total Power at most, or a single group of any Power)</t>
        </is>
      </c>
      <c r="S314" t="inlineStr">
        <is>
          <t>NO</t>
        </is>
      </c>
      <c r="T314" t="inlineStr">
        <is>
          <t>N/A</t>
        </is>
      </c>
      <c r="U314" t="inlineStr">
        <is>
          <t>N/A</t>
        </is>
      </c>
      <c r="V314" t="inlineStr">
        <is>
          <t>N/A — INWO uses Plots instead of group income/money</t>
        </is>
      </c>
      <c r="W314" t="inlineStr">
        <is>
          <t>N/A</t>
        </is>
      </c>
      <c r="X314" t="inlineStr">
        <is>
          <t>No card-specific limit (base duplicate rules apply)</t>
        </is>
      </c>
      <c r="Y314" t="inlineStr">
        <is>
          <t>None beyond base rules</t>
        </is>
      </c>
      <c r="Z314" t="inlineStr">
        <is>
          <t>Standard response window</t>
        </is>
      </c>
      <c r="AA314" t="inlineStr">
        <is>
          <t>Specific card overrides general rules</t>
        </is>
      </c>
      <c r="AB314" t="inlineStr">
        <is>
          <t>Full card scan read; behaviour paraphrased (no card text copied)</t>
        </is>
      </c>
      <c r="AC314" t="inlineStr">
        <is>
          <t>FUNCTIONALLY COMPLETE</t>
        </is>
      </c>
      <c r="AD314" t="inlineStr">
        <is>
          <t>None</t>
        </is>
      </c>
      <c r="AE314" t="inlineStr">
        <is>
          <t>Card scan (GitHub: Cha0smagick/Virtual-Illuminati-New-World-order-INWO-game), read Sep 2026</t>
        </is>
      </c>
      <c r="AF314" t="inlineStr">
        <is>
          <t>N/A</t>
        </is>
      </c>
      <c r="AG314" t="inlineStr">
        <is>
          <t>N/A</t>
        </is>
      </c>
      <c r="AH314" t="inlineStr">
        <is>
          <t>N/A</t>
        </is>
      </c>
      <c r="AI314" t="inlineStr">
        <is>
          <t>N/A</t>
        </is>
      </c>
      <c r="AJ314" t="inlineStr">
        <is>
          <t>N/A</t>
        </is>
      </c>
      <c r="AK314" t="inlineStr">
        <is>
          <t>Official rules: non-Group card types do not use normal Group control-arrow geometry.</t>
        </is>
      </c>
    </row>
    <row r="315" ht="34" customHeight="1" s="16">
      <c r="A315" s="20" t="inlineStr">
        <is>
          <t>Poison</t>
        </is>
      </c>
      <c r="B315" s="20" t="inlineStr">
        <is>
          <t>Plot</t>
        </is>
      </c>
      <c r="C315" s="20" t="inlineStr">
        <is>
          <t>Assassination</t>
        </is>
      </c>
      <c r="D315" s="20" t="inlineStr">
        <is>
          <t>Common</t>
        </is>
      </c>
      <c r="E315" s="20" t="inlineStr">
        <is>
          <t>8</t>
        </is>
      </c>
      <c r="F315" s="20" t="str"/>
      <c r="G315" s="20" t="str"/>
      <c r="H315" s="20" t="str"/>
      <c r="I315" s="20" t="inlineStr">
        <is>
          <t>Assassination. An Instant Attack to Destroy against any Personality, usable at any time with no action required, at Power 8. Optionally one Criminal or Magic group may spend its action to join and add its own Power. The card counts as Magic only when a Magic group is used for it.</t>
        </is>
      </c>
      <c r="J315" s="20" t="inlineStr">
        <is>
          <t>Needs rules-engine encoding</t>
        </is>
      </c>
      <c r="K315" s="20" t="inlineStr">
        <is>
          <t>High</t>
        </is>
      </c>
      <c r="L315" s="20" t="inlineStr">
        <is>
          <t>Gains Magic attribute only if a Magic group supplies the action.</t>
        </is>
      </c>
      <c r="M315" s="20" t="inlineStr">
        <is>
          <t>https://github.com/Cha0smagick/Virtual-Illuminati-New-World-order-INWO-game</t>
        </is>
      </c>
      <c r="N315" t="inlineStr">
        <is>
          <t>Play at any time (Instant Attack)</t>
        </is>
      </c>
      <c r="O315" t="inlineStr">
        <is>
          <t>Any one Personality</t>
        </is>
      </c>
      <c r="P315" t="inlineStr">
        <is>
          <t>None (optional: action of one Criminal or Magic group)</t>
        </is>
      </c>
      <c r="Q315" t="inlineStr">
        <is>
          <t>Immediate</t>
        </is>
      </c>
      <c r="R315" t="inlineStr">
        <is>
          <t>Attack to Destroy at Power 8, +Power of one optional Criminal/Magic group that spends its action</t>
        </is>
      </c>
      <c r="S315" t="inlineStr">
        <is>
          <t>NO</t>
        </is>
      </c>
      <c r="T315" t="inlineStr">
        <is>
          <t>N/A</t>
        </is>
      </c>
      <c r="U315" t="inlineStr">
        <is>
          <t>N/A</t>
        </is>
      </c>
      <c r="V315" t="inlineStr">
        <is>
          <t>N/A — INWO uses Plots instead of group income/money</t>
        </is>
      </c>
      <c r="W315" t="inlineStr">
        <is>
          <t>N/A</t>
        </is>
      </c>
      <c r="X315" t="inlineStr">
        <is>
          <t>No card-specific limit (base duplicate rules apply)</t>
        </is>
      </c>
      <c r="Y315" t="inlineStr">
        <is>
          <t>Target must be a Personality</t>
        </is>
      </c>
      <c r="Z315" t="inlineStr">
        <is>
          <t>Standard response window</t>
        </is>
      </c>
      <c r="AA315" t="inlineStr">
        <is>
          <t>Specific card overrides general rules</t>
        </is>
      </c>
      <c r="AB315" t="inlineStr">
        <is>
          <t>Full card scan read; behaviour paraphrased (no card text copied)</t>
        </is>
      </c>
      <c r="AC315" t="inlineStr">
        <is>
          <t>FUNCTIONALLY COMPLETE</t>
        </is>
      </c>
      <c r="AD315" t="inlineStr">
        <is>
          <t>None</t>
        </is>
      </c>
      <c r="AE315" t="inlineStr">
        <is>
          <t>Card scan (GitHub: Cha0smagick/Virtual-Illuminati-New-World-order-INWO-game), read Sep 2026</t>
        </is>
      </c>
      <c r="AF315" t="inlineStr">
        <is>
          <t>N/A</t>
        </is>
      </c>
      <c r="AG315" t="inlineStr">
        <is>
          <t>N/A</t>
        </is>
      </c>
      <c r="AH315" t="inlineStr">
        <is>
          <t>N/A</t>
        </is>
      </c>
      <c r="AI315" t="inlineStr">
        <is>
          <t>N/A</t>
        </is>
      </c>
      <c r="AJ315" t="inlineStr">
        <is>
          <t>N/A</t>
        </is>
      </c>
      <c r="AK315" t="inlineStr">
        <is>
          <t>Official rules: non-Group card types do not use normal Group control-arrow geometry.</t>
        </is>
      </c>
    </row>
    <row r="316" ht="34" customHeight="1" s="16">
      <c r="A316" s="20" t="inlineStr">
        <is>
          <t>Power Corrupts</t>
        </is>
      </c>
      <c r="B316" s="20" t="inlineStr">
        <is>
          <t>Plot</t>
        </is>
      </c>
      <c r="C316" s="20" t="inlineStr">
        <is>
          <t>Plot</t>
        </is>
      </c>
      <c r="D316" s="20" t="inlineStr">
        <is>
          <t>Common</t>
        </is>
      </c>
      <c r="E316" s="20" t="str"/>
      <c r="F316" s="20" t="str"/>
      <c r="G316" s="20" t="str"/>
      <c r="H316" s="20" t="str"/>
      <c r="I316" s="20" t="inlineStr">
        <is>
          <t>Play at any time, spending actions of your Illuminati or of Criminal groups whose Power adds up to the target's Resistance (plus its bonus for closeness to its Illuminati, if a rival controls it). The target gains the Criminal alignment for good. Keep this card linked to the target.</t>
        </is>
      </c>
      <c r="J316" s="20" t="inlineStr">
        <is>
          <t>Needs rules-engine encoding</t>
        </is>
      </c>
      <c r="K316" s="20" t="inlineStr">
        <is>
          <t>High</t>
        </is>
      </c>
      <c r="L316" s="20" t="inlineStr">
        <is>
          <t>No die roll; Power threshold. No doubling clause and no alignment is removed.</t>
        </is>
      </c>
      <c r="M316" s="20" t="inlineStr">
        <is>
          <t>https://github.com/Cha0smagick/Virtual-Illuminati-New-World-order-INWO-game</t>
        </is>
      </c>
      <c r="N316" t="inlineStr">
        <is>
          <t>Play at any time</t>
        </is>
      </c>
      <c r="O316" t="inlineStr">
        <is>
          <t>Any one Group (yours or a rival's)</t>
        </is>
      </c>
      <c r="P316" t="inlineStr">
        <is>
          <t>Action(s) of your Illuminati, or of Criminal group(s) with total Power &gt;= required amount</t>
        </is>
      </c>
      <c r="Q316" t="inlineStr">
        <is>
          <t>Permanent (card kept linked to target)</t>
        </is>
      </c>
      <c r="R316" t="inlineStr">
        <is>
          <t>Target gains Criminal alignment</t>
        </is>
      </c>
      <c r="S316" t="inlineStr">
        <is>
          <t>NO</t>
        </is>
      </c>
      <c r="T316" t="inlineStr">
        <is>
          <t>N/A</t>
        </is>
      </c>
      <c r="U316" t="inlineStr">
        <is>
          <t>N/A</t>
        </is>
      </c>
      <c r="V316" t="inlineStr">
        <is>
          <t>N/A — INWO uses Plots instead of group income/money</t>
        </is>
      </c>
      <c r="W316" t="inlineStr">
        <is>
          <t>N/A</t>
        </is>
      </c>
      <c r="X316" t="inlineStr">
        <is>
          <t>No card-specific limit (base duplicate rules apply)</t>
        </is>
      </c>
      <c r="Y316" t="inlineStr">
        <is>
          <t>Required Power = target Resistance + rival closeness bonus if owned by a rival</t>
        </is>
      </c>
      <c r="Z316" t="inlineStr">
        <is>
          <t>Standard response window</t>
        </is>
      </c>
      <c r="AA316" t="inlineStr">
        <is>
          <t>Specific card overrides general rules</t>
        </is>
      </c>
      <c r="AB316" t="inlineStr">
        <is>
          <t>Full card scan read; behaviour paraphrased (no card text copied)</t>
        </is>
      </c>
      <c r="AC316" t="inlineStr">
        <is>
          <t>FUNCTIONALLY COMPLETE</t>
        </is>
      </c>
      <c r="AD316" t="inlineStr">
        <is>
          <t>None</t>
        </is>
      </c>
      <c r="AE316" t="inlineStr">
        <is>
          <t>Card scan (GitHub: Cha0smagick/Virtual-Illuminati-New-World-order-INWO-game), read Sep 2026</t>
        </is>
      </c>
      <c r="AF316" t="inlineStr">
        <is>
          <t>N/A</t>
        </is>
      </c>
      <c r="AG316" t="inlineStr">
        <is>
          <t>N/A</t>
        </is>
      </c>
      <c r="AH316" t="inlineStr">
        <is>
          <t>N/A</t>
        </is>
      </c>
      <c r="AI316" t="inlineStr">
        <is>
          <t>N/A</t>
        </is>
      </c>
      <c r="AJ316" t="inlineStr">
        <is>
          <t>N/A</t>
        </is>
      </c>
      <c r="AK316" t="inlineStr">
        <is>
          <t>Official rules: non-Group card types do not use normal Group control-arrow geometry.</t>
        </is>
      </c>
    </row>
    <row r="317" ht="34" customHeight="1" s="16">
      <c r="A317" s="20" t="inlineStr">
        <is>
          <t>Power Grab</t>
        </is>
      </c>
      <c r="B317" s="20" t="inlineStr">
        <is>
          <t>Plot</t>
        </is>
      </c>
      <c r="C317" s="20" t="inlineStr">
        <is>
          <t>Plot</t>
        </is>
      </c>
      <c r="D317" s="20" t="inlineStr">
        <is>
          <t>Common</t>
        </is>
      </c>
      <c r="E317" s="20" t="str"/>
      <c r="F317" s="20" t="str"/>
      <c r="G317" s="20" t="str"/>
      <c r="H317" s="20" t="str"/>
      <c r="I317" s="20" t="inlineStr">
        <is>
          <t>Play on your turn just after your automatic takeover to make one more automatic takeover of a Group or Resource. Then your turn stops immediately: you still get new Action tokens, but you take no further steps.</t>
        </is>
      </c>
      <c r="J317" s="20" t="inlineStr">
        <is>
          <t>Needs rules-engine encoding</t>
        </is>
      </c>
      <c r="K317" s="20" t="inlineStr">
        <is>
          <t>High</t>
        </is>
      </c>
      <c r="L317" s="20" t="inlineStr">
        <is>
          <t>Bottom banner: 'Ends Turn'.</t>
        </is>
      </c>
      <c r="M317" s="20" t="inlineStr">
        <is>
          <t>https://github.com/Cha0smagick/Virtual-Illuminati-New-World-order-INWO-game</t>
        </is>
      </c>
      <c r="N317" t="inlineStr">
        <is>
          <t>Your turn, immediately after your automatic takeover</t>
        </is>
      </c>
      <c r="O317" t="inlineStr">
        <is>
          <t>Any one Group or Resource (for the extra automatic takeover)</t>
        </is>
      </c>
      <c r="P317" t="inlineStr">
        <is>
          <t>None; ends your turn</t>
        </is>
      </c>
      <c r="Q317" t="inlineStr">
        <is>
          <t>Immediate; ends turn</t>
        </is>
      </c>
      <c r="R317" t="inlineStr">
        <is>
          <t>Extra automatic takeover; then turn ends immediately (new Action tokens still granted)</t>
        </is>
      </c>
      <c r="S317" t="inlineStr">
        <is>
          <t>NO</t>
        </is>
      </c>
      <c r="T317" t="inlineStr">
        <is>
          <t>N/A</t>
        </is>
      </c>
      <c r="U317" t="inlineStr">
        <is>
          <t>N/A</t>
        </is>
      </c>
      <c r="V317" t="inlineStr">
        <is>
          <t>N/A — INWO uses Plots instead of group income/money</t>
        </is>
      </c>
      <c r="W317" t="inlineStr">
        <is>
          <t>N/A</t>
        </is>
      </c>
      <c r="X317" t="inlineStr">
        <is>
          <t>No card-specific limit (base duplicate rules apply)</t>
        </is>
      </c>
      <c r="Y317" t="inlineStr">
        <is>
          <t>Must be your turn and you must have just made your automatic takeover</t>
        </is>
      </c>
      <c r="Z317" t="inlineStr">
        <is>
          <t>Standard response window</t>
        </is>
      </c>
      <c r="AA317" t="inlineStr">
        <is>
          <t>Specific card overrides general rules</t>
        </is>
      </c>
      <c r="AB317" t="inlineStr">
        <is>
          <t>Full card scan read; behaviour paraphrased (no card text copied)</t>
        </is>
      </c>
      <c r="AC317" t="inlineStr">
        <is>
          <t>FUNCTIONALLY COMPLETE</t>
        </is>
      </c>
      <c r="AD317" t="inlineStr">
        <is>
          <t>None</t>
        </is>
      </c>
      <c r="AE317" t="inlineStr">
        <is>
          <t>Card scan (GitHub: Cha0smagick/Virtual-Illuminati-New-World-order-INWO-game), read Sep 2026</t>
        </is>
      </c>
      <c r="AF317" t="inlineStr">
        <is>
          <t>N/A</t>
        </is>
      </c>
      <c r="AG317" t="inlineStr">
        <is>
          <t>N/A</t>
        </is>
      </c>
      <c r="AH317" t="inlineStr">
        <is>
          <t>N/A</t>
        </is>
      </c>
      <c r="AI317" t="inlineStr">
        <is>
          <t>N/A</t>
        </is>
      </c>
      <c r="AJ317" t="inlineStr">
        <is>
          <t>N/A</t>
        </is>
      </c>
      <c r="AK317" t="inlineStr">
        <is>
          <t>Official rules: non-Group card types do not use normal Group control-arrow geometry.</t>
        </is>
      </c>
    </row>
    <row r="318" ht="34" customHeight="1" s="16">
      <c r="A318" s="20" t="inlineStr">
        <is>
          <t>Privatization</t>
        </is>
      </c>
      <c r="B318" s="20" t="inlineStr">
        <is>
          <t>Plot</t>
        </is>
      </c>
      <c r="C318" s="20" t="inlineStr">
        <is>
          <t>Plot</t>
        </is>
      </c>
      <c r="D318" s="20" t="inlineStr">
        <is>
          <t>Common</t>
        </is>
      </c>
      <c r="E318" s="20" t="str"/>
      <c r="F318" s="20" t="str"/>
      <c r="G318" s="20" t="str"/>
      <c r="H318" s="20" t="str"/>
      <c r="I318" s="20" t="inlineStr">
        <is>
          <t>Played at any time using actions from your Illuminati or from Corporate group(s) whose combined Power equals the target's Resistance; that required total is doubled if the target is currently Government, and if the target belongs to a rival you add its closeness-to-Illuminati bonus. The target permanently gains the Corporate alignment; it loses Government if it had it, and stops being a Dictatorship if it was one. This card stays in play linked to the target.</t>
        </is>
      </c>
      <c r="J318" s="20" t="inlineStr">
        <is>
          <t>Needs rules-engine encoding</t>
        </is>
      </c>
      <c r="K318" s="20" t="inlineStr">
        <is>
          <t>High</t>
        </is>
      </c>
      <c r="L318" s="20" t="inlineStr">
        <is>
          <t>Mirror of Nationalization.</t>
        </is>
      </c>
      <c r="M318" s="20" t="inlineStr">
        <is>
          <t>https://github.com/Cha0smagick/Virtual-Illuminati-New-World-order-INWO-game</t>
        </is>
      </c>
      <c r="N318" t="inlineStr">
        <is>
          <t>Play at any time</t>
        </is>
      </c>
      <c r="O318" t="inlineStr">
        <is>
          <t>Any one Group (yours or a rival's)</t>
        </is>
      </c>
      <c r="P318" t="inlineStr">
        <is>
          <t>Action(s) of your Illuminati, or of Corporate group(s) with total Power &gt;= required amount</t>
        </is>
      </c>
      <c r="Q318" t="inlineStr">
        <is>
          <t>Permanent (card kept linked to target)</t>
        </is>
      </c>
      <c r="R318" t="inlineStr">
        <is>
          <t>Target gains Corporate; loses Government; loses Dictatorship attribute if present</t>
        </is>
      </c>
      <c r="S318" t="inlineStr">
        <is>
          <t>NO</t>
        </is>
      </c>
      <c r="T318" t="inlineStr">
        <is>
          <t>N/A</t>
        </is>
      </c>
      <c r="U318" t="inlineStr">
        <is>
          <t>N/A</t>
        </is>
      </c>
      <c r="V318" t="inlineStr">
        <is>
          <t>N/A — INWO uses Plots instead of group income/money</t>
        </is>
      </c>
      <c r="W318" t="inlineStr">
        <is>
          <t>N/A</t>
        </is>
      </c>
      <c r="X318" t="inlineStr">
        <is>
          <t>No card-specific limit (base duplicate rules apply)</t>
        </is>
      </c>
      <c r="Y318" t="inlineStr">
        <is>
          <t>Required Power = target Resistance (x2 if currently Government) + rival closeness bonus if owned by a rival</t>
        </is>
      </c>
      <c r="Z318" t="inlineStr">
        <is>
          <t>Standard response window</t>
        </is>
      </c>
      <c r="AA318" t="inlineStr">
        <is>
          <t>Specific card overrides general rules</t>
        </is>
      </c>
      <c r="AB318" t="inlineStr">
        <is>
          <t>Full card scan read; behaviour paraphrased (no card text copied)</t>
        </is>
      </c>
      <c r="AC318" t="inlineStr">
        <is>
          <t>FUNCTIONALLY COMPLETE</t>
        </is>
      </c>
      <c r="AD318" t="inlineStr">
        <is>
          <t>None</t>
        </is>
      </c>
      <c r="AE318" t="inlineStr">
        <is>
          <t>Card scan (GitHub: Cha0smagick/Virtual-Illuminati-New-World-order-INWO-game), read Sep 2026</t>
        </is>
      </c>
      <c r="AF318" t="inlineStr">
        <is>
          <t>N/A</t>
        </is>
      </c>
      <c r="AG318" t="inlineStr">
        <is>
          <t>N/A</t>
        </is>
      </c>
      <c r="AH318" t="inlineStr">
        <is>
          <t>N/A</t>
        </is>
      </c>
      <c r="AI318" t="inlineStr">
        <is>
          <t>N/A</t>
        </is>
      </c>
      <c r="AJ318" t="inlineStr">
        <is>
          <t>N/A</t>
        </is>
      </c>
      <c r="AK318" t="inlineStr">
        <is>
          <t>Official rules: non-Group card types do not use normal Group control-arrow geometry.</t>
        </is>
      </c>
    </row>
    <row r="319" ht="34" customHeight="1" s="16">
      <c r="A319" s="20" t="inlineStr">
        <is>
          <t>Privileged Attack</t>
        </is>
      </c>
      <c r="B319" s="20" t="inlineStr">
        <is>
          <t>Plot</t>
        </is>
      </c>
      <c r="C319" s="20" t="inlineStr">
        <is>
          <t>Plot</t>
        </is>
      </c>
      <c r="D319" s="20" t="inlineStr">
        <is>
          <t>Common</t>
        </is>
      </c>
      <c r="E319" s="20" t="str"/>
      <c r="F319" s="20" t="str"/>
      <c r="G319" s="20" t="str"/>
      <c r="H319" s="20" t="str"/>
      <c r="I319" s="20" t="inlineStr">
        <is>
          <t>Play as you make any attack to make it Privileged: only you and the target's owner (if there is one) can aid or oppose. Your Illuminati or a Secret group of yours must join the attack or spend an Action token.</t>
        </is>
      </c>
      <c r="J319" s="20" t="inlineStr">
        <is>
          <t>Needs rules-engine encoding</t>
        </is>
      </c>
      <c r="K319" s="20" t="inlineStr">
        <is>
          <t>High</t>
        </is>
      </c>
      <c r="L319" s="20" t="inlineStr">
        <is>
          <t>Bottom banner: 'May Require Action'.</t>
        </is>
      </c>
      <c r="M319" s="20" t="inlineStr">
        <is>
          <t>https://github.com/Cha0smagick/Virtual-Illuminati-New-World-order-INWO-game</t>
        </is>
      </c>
      <c r="N319" t="inlineStr">
        <is>
          <t>When you declare an attack</t>
        </is>
      </c>
      <c r="O319" t="inlineStr">
        <is>
          <t>One attack you are making</t>
        </is>
      </c>
      <c r="P319" t="inlineStr">
        <is>
          <t>Your Illuminati or one of your Secret groups either joins the attack or uses up an Action token</t>
        </is>
      </c>
      <c r="Q319" t="inlineStr">
        <is>
          <t>For that attack</t>
        </is>
      </c>
      <c r="R319" t="inlineStr">
        <is>
          <t>Attack becomes Privileged: only attacker and target player may aid</t>
        </is>
      </c>
      <c r="S319" t="inlineStr">
        <is>
          <t>NO</t>
        </is>
      </c>
      <c r="T319" t="inlineStr">
        <is>
          <t>N/A</t>
        </is>
      </c>
      <c r="U319" t="inlineStr">
        <is>
          <t>N/A</t>
        </is>
      </c>
      <c r="V319" t="inlineStr">
        <is>
          <t>N/A — INWO uses Plots instead of group income/money</t>
        </is>
      </c>
      <c r="W319" t="inlineStr">
        <is>
          <t>N/A</t>
        </is>
      </c>
      <c r="X319" t="inlineStr">
        <is>
          <t>No card-specific limit (base duplicate rules apply)</t>
        </is>
      </c>
      <c r="Y319" t="inlineStr">
        <is>
          <t>You must be making an attack; Illuminati or a Secret group must participate or have an Action token to spend</t>
        </is>
      </c>
      <c r="Z319" t="inlineStr">
        <is>
          <t>Other players (besides attacker and target owner) may not aid either side</t>
        </is>
      </c>
      <c r="AA319" t="inlineStr">
        <is>
          <t>Specific card overrides general rules</t>
        </is>
      </c>
      <c r="AB319" t="inlineStr">
        <is>
          <t>Full card scan read; behaviour paraphrased (no card text copied)</t>
        </is>
      </c>
      <c r="AC319" t="inlineStr">
        <is>
          <t>FUNCTIONALLY COMPLETE</t>
        </is>
      </c>
      <c r="AD319" t="inlineStr">
        <is>
          <t>None</t>
        </is>
      </c>
      <c r="AE319" t="inlineStr">
        <is>
          <t>Card scan (GitHub: Cha0smagick/Virtual-Illuminati-New-World-order-INWO-game), read Sep 2026</t>
        </is>
      </c>
      <c r="AF319" t="inlineStr">
        <is>
          <t>N/A</t>
        </is>
      </c>
      <c r="AG319" t="inlineStr">
        <is>
          <t>N/A</t>
        </is>
      </c>
      <c r="AH319" t="inlineStr">
        <is>
          <t>N/A</t>
        </is>
      </c>
      <c r="AI319" t="inlineStr">
        <is>
          <t>N/A</t>
        </is>
      </c>
      <c r="AJ319" t="inlineStr">
        <is>
          <t>N/A</t>
        </is>
      </c>
      <c r="AK319" t="inlineStr">
        <is>
          <t>Official rules: non-Group card types do not use normal Group control-arrow geometry.</t>
        </is>
      </c>
    </row>
    <row r="320" ht="34" customHeight="1" s="16">
      <c r="A320" s="20" t="inlineStr">
        <is>
          <t>Pulitzer Prize</t>
        </is>
      </c>
      <c r="B320" s="20" t="inlineStr">
        <is>
          <t>Plot</t>
        </is>
      </c>
      <c r="C320" s="20" t="inlineStr">
        <is>
          <t>Plot</t>
        </is>
      </c>
      <c r="D320" s="20" t="inlineStr">
        <is>
          <t>Common</t>
        </is>
      </c>
      <c r="E320" s="20" t="str"/>
      <c r="F320" s="20" t="str"/>
      <c r="G320" s="20" t="str"/>
      <c r="H320" s="20" t="str"/>
      <c r="I320" s="20" t="inlineStr">
        <is>
          <t>Playable at any time to give one Media group you control +10 Power or +10 Resistance (your choice). If boosting an action, it must be played when that action is first declared and applies only to that action. If used defensively, the bonus lasts until end of the current turn and does not count toward Goals.</t>
        </is>
      </c>
      <c r="J320" s="20" t="inlineStr">
        <is>
          <t>Needs rules-engine encoding</t>
        </is>
      </c>
      <c r="K320" s="20" t="inlineStr">
        <is>
          <t>High</t>
        </is>
      </c>
      <c r="L320" s="20" t="str"/>
      <c r="M320" s="20" t="inlineStr">
        <is>
          <t>https://github.com/Cha0smagick/Virtual-Illuminati-New-World-order-INWO-game</t>
        </is>
      </c>
      <c r="N320" t="inlineStr">
        <is>
          <t>Play at any time (for an action: at declaration)</t>
        </is>
      </c>
      <c r="O320" t="inlineStr">
        <is>
          <t>One Media group you control</t>
        </is>
      </c>
      <c r="P320" t="inlineStr">
        <is>
          <t>None</t>
        </is>
      </c>
      <c r="Q320" t="inlineStr">
        <is>
          <t>Offensive: that one action; Defensive: until end of current turn</t>
        </is>
      </c>
      <c r="R320" t="inlineStr">
        <is>
          <t>+10 Power or +10 Resistance (choose); defensive bonus does not count toward Goals</t>
        </is>
      </c>
      <c r="S320" t="inlineStr">
        <is>
          <t>NO</t>
        </is>
      </c>
      <c r="T320" t="inlineStr">
        <is>
          <t>N/A</t>
        </is>
      </c>
      <c r="U320" t="inlineStr">
        <is>
          <t>N/A</t>
        </is>
      </c>
      <c r="V320" t="inlineStr">
        <is>
          <t>N/A — INWO uses Plots instead of group income/money</t>
        </is>
      </c>
      <c r="W320" t="inlineStr">
        <is>
          <t>N/A</t>
        </is>
      </c>
      <c r="X320" t="inlineStr">
        <is>
          <t>No card-specific limit (base duplicate rules apply)</t>
        </is>
      </c>
      <c r="Y320" t="inlineStr">
        <is>
          <t>Target must be a Media group you control; if used with an action, must be played at declaration</t>
        </is>
      </c>
      <c r="Z320" t="inlineStr">
        <is>
          <t>Standard response window</t>
        </is>
      </c>
      <c r="AA320" t="inlineStr">
        <is>
          <t>Specific card overrides general rules</t>
        </is>
      </c>
      <c r="AB320" t="inlineStr">
        <is>
          <t>Full card scan read; behaviour paraphrased (no card text copied)</t>
        </is>
      </c>
      <c r="AC320" t="inlineStr">
        <is>
          <t>FUNCTIONALLY COMPLETE</t>
        </is>
      </c>
      <c r="AD320" t="inlineStr">
        <is>
          <t>None</t>
        </is>
      </c>
      <c r="AE320" t="inlineStr">
        <is>
          <t>Card scan (GitHub: Cha0smagick/Virtual-Illuminati-New-World-order-INWO-game), read Sep 2026</t>
        </is>
      </c>
      <c r="AF320" t="inlineStr">
        <is>
          <t>N/A</t>
        </is>
      </c>
      <c r="AG320" t="inlineStr">
        <is>
          <t>N/A</t>
        </is>
      </c>
      <c r="AH320" t="inlineStr">
        <is>
          <t>N/A</t>
        </is>
      </c>
      <c r="AI320" t="inlineStr">
        <is>
          <t>N/A</t>
        </is>
      </c>
      <c r="AJ320" t="inlineStr">
        <is>
          <t>N/A</t>
        </is>
      </c>
      <c r="AK320" t="inlineStr">
        <is>
          <t>Official rules: non-Group card types do not use normal Group control-arrow geometry.</t>
        </is>
      </c>
    </row>
    <row r="321" ht="34" customHeight="1" s="16">
      <c r="A321" s="20" t="inlineStr">
        <is>
          <t>Purge</t>
        </is>
      </c>
      <c r="B321" s="20" t="inlineStr">
        <is>
          <t>Plot</t>
        </is>
      </c>
      <c r="C321" s="20" t="inlineStr">
        <is>
          <t>Plot</t>
        </is>
      </c>
      <c r="D321" s="20" t="inlineStr">
        <is>
          <t>Common</t>
        </is>
      </c>
      <c r="E321" s="20" t="str"/>
      <c r="F321" s="20" t="str"/>
      <c r="G321" s="20" t="str"/>
      <c r="H321" s="20" t="str"/>
      <c r="I321" s="20" t="inlineStr">
        <is>
          <t>Play on your turn as the action of whichever group uses it; two modes. Used by your Illuminati: destroy every Agent card in play that duplicates your Illuminati. Used by any other group: that group loses 1 Power and 1 Global Power, but from now on duplicate Group cards played by rivals have no effect on it; link this card to it.</t>
        </is>
      </c>
      <c r="J321" s="20" t="inlineStr">
        <is>
          <t>Needs rules-engine encoding</t>
        </is>
      </c>
      <c r="K321" s="20" t="inlineStr">
        <is>
          <t>High</t>
        </is>
      </c>
      <c r="L321" s="20" t="inlineStr">
        <is>
          <t>Existing summary ('eliminates duplicate Illuminati') is imprecise: Mode A targets Agent cards that duplicate your Illuminati.</t>
        </is>
      </c>
      <c r="M321" s="20" t="inlineStr">
        <is>
          <t>https://github.com/Cha0smagick/Virtual-Illuminati-New-World-order-INWO-game</t>
        </is>
      </c>
      <c r="N321" t="inlineStr">
        <is>
          <t>Your turn, as an action</t>
        </is>
      </c>
      <c r="O321" t="inlineStr">
        <is>
          <t>Mode A: all Agent cards duplicating your Illuminati; Mode B: the non-Illuminati group that uses it</t>
        </is>
      </c>
      <c r="P321" t="inlineStr">
        <is>
          <t>The acting group's action (your Illuminati or some other group)</t>
        </is>
      </c>
      <c r="Q321" t="inlineStr">
        <is>
          <t>Mode A: immediate; Mode B: permanent while linked</t>
        </is>
      </c>
      <c r="R321" t="inlineStr">
        <is>
          <t>Mode A: destroy all Agents duplicating your Illuminati. Mode B: group -1 Power, -1 Global Power, immune to rivals' duplicate Group cards</t>
        </is>
      </c>
      <c r="S321" t="inlineStr">
        <is>
          <t>NO</t>
        </is>
      </c>
      <c r="T321" t="inlineStr">
        <is>
          <t>N/A</t>
        </is>
      </c>
      <c r="U321" t="inlineStr">
        <is>
          <t>N/A</t>
        </is>
      </c>
      <c r="V321" t="inlineStr">
        <is>
          <t>N/A — INWO uses Plots instead of group income/money</t>
        </is>
      </c>
      <c r="W321" t="inlineStr">
        <is>
          <t>N/A</t>
        </is>
      </c>
      <c r="X321" t="inlineStr">
        <is>
          <t>No card-specific limit (base duplicate rules apply)</t>
        </is>
      </c>
      <c r="Y321" t="inlineStr">
        <is>
          <t>Must be your turn; using group must have its action</t>
        </is>
      </c>
      <c r="Z321" t="inlineStr">
        <is>
          <t>Standard response window</t>
        </is>
      </c>
      <c r="AA321" t="inlineStr">
        <is>
          <t>Specific card overrides general rules</t>
        </is>
      </c>
      <c r="AB321" t="inlineStr">
        <is>
          <t>Full card scan read; behaviour paraphrased (no card text copied)</t>
        </is>
      </c>
      <c r="AC321" t="inlineStr">
        <is>
          <t>FUNCTIONALLY COMPLETE</t>
        </is>
      </c>
      <c r="AD321" t="inlineStr">
        <is>
          <t>None</t>
        </is>
      </c>
      <c r="AE321" t="inlineStr">
        <is>
          <t>Card scan (GitHub: Cha0smagick/Virtual-Illuminati-New-World-order-INWO-game), read Sep 2026</t>
        </is>
      </c>
      <c r="AF321" t="inlineStr">
        <is>
          <t>N/A</t>
        </is>
      </c>
      <c r="AG321" t="inlineStr">
        <is>
          <t>N/A</t>
        </is>
      </c>
      <c r="AH321" t="inlineStr">
        <is>
          <t>N/A</t>
        </is>
      </c>
      <c r="AI321" t="inlineStr">
        <is>
          <t>N/A</t>
        </is>
      </c>
      <c r="AJ321" t="inlineStr">
        <is>
          <t>N/A</t>
        </is>
      </c>
      <c r="AK321" t="inlineStr">
        <is>
          <t>Official rules: non-Group card types do not use normal Group control-arrow geometry.</t>
        </is>
      </c>
    </row>
    <row r="322" ht="34" customHeight="1" s="16">
      <c r="A322" s="20" t="inlineStr">
        <is>
          <t>Rain of Frogs</t>
        </is>
      </c>
      <c r="B322" s="20" t="inlineStr">
        <is>
          <t>Plot</t>
        </is>
      </c>
      <c r="C322" s="20" t="inlineStr">
        <is>
          <t>Disaster</t>
        </is>
      </c>
      <c r="D322" s="20" t="inlineStr">
        <is>
          <t>Uncommon</t>
        </is>
      </c>
      <c r="E322" s="20" t="inlineStr">
        <is>
          <t>10, and 4 more for every Frog God on the target player's side</t>
        </is>
      </c>
      <c r="F322" s="20" t="str"/>
      <c r="G322" s="20" t="str"/>
      <c r="H322" s="20" t="str"/>
      <c r="I322" s="20" t="inlineStr">
        <is>
          <t>Disaster. An Instant Attack to Destroy against any Place of any size, needing no action, at Power 10 plus 4 for every Frog God the target's owner has in play. On success the Place is Devastated; if the roll beats the needed number by more than 6 it is destroyed outright.</t>
        </is>
      </c>
      <c r="J322" s="20" t="inlineStr">
        <is>
          <t>Needs rules-engine encoding</t>
        </is>
      </c>
      <c r="K322" s="20" t="inlineStr">
        <is>
          <t>High</t>
        </is>
      </c>
      <c r="L322" s="20" t="inlineStr">
        <is>
          <t>Frog God count is of the target player's cards, not yours. Destruction threshold is more than 6.</t>
        </is>
      </c>
      <c r="M322" s="20" t="inlineStr">
        <is>
          <t>https://github.com/Cha0smagick/Virtual-Illuminati-New-World-order-INWO-game</t>
        </is>
      </c>
      <c r="N322" t="inlineStr">
        <is>
          <t>Play at any time (Instant Attack)</t>
        </is>
      </c>
      <c r="O322" t="inlineStr">
        <is>
          <t>Any one Place (any size)</t>
        </is>
      </c>
      <c r="P322" t="inlineStr">
        <is>
          <t>None (no action required)</t>
        </is>
      </c>
      <c r="Q322" t="inlineStr">
        <is>
          <t>Immediate</t>
        </is>
      </c>
      <c r="R322" t="inlineStr">
        <is>
          <t>Attack to Destroy at 10 + 4 x (target player's Frog Gods in play); success = Devastated; margin &gt; 6 = destroyed</t>
        </is>
      </c>
      <c r="S322" t="inlineStr">
        <is>
          <t>NO</t>
        </is>
      </c>
      <c r="T322" t="inlineStr">
        <is>
          <t>N/A</t>
        </is>
      </c>
      <c r="U322" t="inlineStr">
        <is>
          <t>N/A</t>
        </is>
      </c>
      <c r="V322" t="inlineStr">
        <is>
          <t>N/A — INWO uses Plots instead of group income/money</t>
        </is>
      </c>
      <c r="W322" t="inlineStr">
        <is>
          <t>N/A</t>
        </is>
      </c>
      <c r="X322" t="inlineStr">
        <is>
          <t>No card-specific limit (base duplicate rules apply)</t>
        </is>
      </c>
      <c r="Y322" t="inlineStr">
        <is>
          <t>Target must be a Place</t>
        </is>
      </c>
      <c r="Z322" t="inlineStr">
        <is>
          <t>Standard response window</t>
        </is>
      </c>
      <c r="AA322" t="inlineStr">
        <is>
          <t>Specific card overrides general rules</t>
        </is>
      </c>
      <c r="AB322" t="inlineStr">
        <is>
          <t>Full card scan read; behaviour paraphrased (no card text copied)</t>
        </is>
      </c>
      <c r="AC322" t="inlineStr">
        <is>
          <t>FUNCTIONALLY COMPLETE</t>
        </is>
      </c>
      <c r="AD322" t="inlineStr">
        <is>
          <t>None</t>
        </is>
      </c>
      <c r="AE322" t="inlineStr">
        <is>
          <t>Card scan (GitHub: Cha0smagick/Virtual-Illuminati-New-World-order-INWO-game), read Sep 2026</t>
        </is>
      </c>
      <c r="AF322" t="inlineStr">
        <is>
          <t>N/A</t>
        </is>
      </c>
      <c r="AG322" t="inlineStr">
        <is>
          <t>N/A</t>
        </is>
      </c>
      <c r="AH322" t="inlineStr">
        <is>
          <t>N/A</t>
        </is>
      </c>
      <c r="AI322" t="inlineStr">
        <is>
          <t>N/A</t>
        </is>
      </c>
      <c r="AJ322" t="inlineStr">
        <is>
          <t>N/A</t>
        </is>
      </c>
      <c r="AK322" t="inlineStr">
        <is>
          <t>Official rules: non-Group card types do not use normal Group control-arrow geometry.</t>
        </is>
      </c>
    </row>
    <row r="323" ht="34" customHeight="1" s="16">
      <c r="A323" s="20" t="inlineStr">
        <is>
          <t>Reach Out...</t>
        </is>
      </c>
      <c r="B323" s="20" t="inlineStr">
        <is>
          <t>Plot</t>
        </is>
      </c>
      <c r="C323" s="20" t="inlineStr">
        <is>
          <t>Plot</t>
        </is>
      </c>
      <c r="D323" s="20" t="inlineStr">
        <is>
          <t>Rare</t>
        </is>
      </c>
      <c r="E323" s="20" t="str"/>
      <c r="F323" s="20" t="str"/>
      <c r="G323" s="20" t="str"/>
      <c r="H323" s="20" t="str"/>
      <c r="I323" s="20" t="inlineStr">
        <is>
          <t>Played only at the end of your turn, with an action from your Illuminati. Remove every Action token from the Groups (not Resources) of one rival, and also remove all remaining Action tokens from your own groups.</t>
        </is>
      </c>
      <c r="J323" s="20" t="inlineStr">
        <is>
          <t>Needs rules-engine encoding</t>
        </is>
      </c>
      <c r="K323" s="20" t="inlineStr">
        <is>
          <t>High</t>
        </is>
      </c>
      <c r="L323" s="20" t="inlineStr">
        <is>
          <t>Printed title is 'Reach Out . . .'. Card says 'your own groups' for the self-cost; whether your Resources are affected is not stated.</t>
        </is>
      </c>
      <c r="M323" s="20" t="inlineStr">
        <is>
          <t>https://github.com/Cha0smagick/Virtual-Illuminati-New-World-order-INWO-game</t>
        </is>
      </c>
      <c r="N323" t="inlineStr">
        <is>
          <t>End of your turn</t>
        </is>
      </c>
      <c r="O323" t="inlineStr">
        <is>
          <t>All Groups of one rival (not their Resources); also all your own groups</t>
        </is>
      </c>
      <c r="P323" t="inlineStr">
        <is>
          <t>1 Illuminati action; plus loss of all your remaining group Action tokens</t>
        </is>
      </c>
      <c r="Q323" t="inlineStr">
        <is>
          <t>Immediate</t>
        </is>
      </c>
      <c r="R323" t="inlineStr">
        <is>
          <t>Chosen rival's Groups lose all Action tokens; your groups lose all remaining Action tokens</t>
        </is>
      </c>
      <c r="S323" t="inlineStr">
        <is>
          <t>NO</t>
        </is>
      </c>
      <c r="T323" t="inlineStr">
        <is>
          <t>N/A</t>
        </is>
      </c>
      <c r="U323" t="inlineStr">
        <is>
          <t>N/A</t>
        </is>
      </c>
      <c r="V323" t="inlineStr">
        <is>
          <t>N/A — INWO uses Plots instead of group income/money</t>
        </is>
      </c>
      <c r="W323" t="inlineStr">
        <is>
          <t>N/A</t>
        </is>
      </c>
      <c r="X323" t="inlineStr">
        <is>
          <t>No card-specific limit (base duplicate rules apply)</t>
        </is>
      </c>
      <c r="Y323" t="inlineStr">
        <is>
          <t>Only at end of your turn; Illuminati must have an action</t>
        </is>
      </c>
      <c r="Z323" t="inlineStr">
        <is>
          <t>Standard response window</t>
        </is>
      </c>
      <c r="AA323" t="inlineStr">
        <is>
          <t>Specific card overrides general rules</t>
        </is>
      </c>
      <c r="AB323" t="inlineStr">
        <is>
          <t>Full card scan read; behaviour paraphrased (no card text copied)</t>
        </is>
      </c>
      <c r="AC323" t="inlineStr">
        <is>
          <t>FUNCTIONALLY COMPLETE</t>
        </is>
      </c>
      <c r="AD323" t="inlineStr">
        <is>
          <t>None</t>
        </is>
      </c>
      <c r="AE323" t="inlineStr">
        <is>
          <t>Card scan (GitHub: Cha0smagick/Virtual-Illuminati-New-World-order-INWO-game), read Sep 2026</t>
        </is>
      </c>
      <c r="AF323" t="inlineStr">
        <is>
          <t>N/A</t>
        </is>
      </c>
      <c r="AG323" t="inlineStr">
        <is>
          <t>N/A</t>
        </is>
      </c>
      <c r="AH323" t="inlineStr">
        <is>
          <t>N/A</t>
        </is>
      </c>
      <c r="AI323" t="inlineStr">
        <is>
          <t>N/A</t>
        </is>
      </c>
      <c r="AJ323" t="inlineStr">
        <is>
          <t>N/A</t>
        </is>
      </c>
      <c r="AK323" t="inlineStr">
        <is>
          <t>Official rules: non-Group card types do not use normal Group control-arrow geometry.</t>
        </is>
      </c>
    </row>
    <row r="324" ht="34" customHeight="1" s="16">
      <c r="A324" s="20" t="inlineStr">
        <is>
          <t>Read My Lips</t>
        </is>
      </c>
      <c r="B324" s="20" t="inlineStr">
        <is>
          <t>Plot</t>
        </is>
      </c>
      <c r="C324" s="20" t="inlineStr">
        <is>
          <t>Plot</t>
        </is>
      </c>
      <c r="D324" s="20" t="inlineStr">
        <is>
          <t>Common</t>
        </is>
      </c>
      <c r="E324" s="20" t="str"/>
      <c r="F324" s="20" t="str"/>
      <c r="G324" s="20" t="str"/>
      <c r="H324" s="20" t="str"/>
      <c r="I324" s="20" t="inlineStr">
        <is>
          <t>Played after a successful Attack to Control or Destroy against one of your Personalities (but not an Assassination); the attack is turned into a failure.</t>
        </is>
      </c>
      <c r="J324" s="20" t="inlineStr">
        <is>
          <t>Needs rules-engine encoding</t>
        </is>
      </c>
      <c r="K324" s="20" t="inlineStr">
        <is>
          <t>High</t>
        </is>
      </c>
      <c r="L324" s="20" t="inlineStr">
        <is>
          <t>Does not work on Attacks to Neutralize or on Assassinations.</t>
        </is>
      </c>
      <c r="M324" s="20" t="inlineStr">
        <is>
          <t>https://github.com/Cha0smagick/Virtual-Illuminati-New-World-order-INWO-game</t>
        </is>
      </c>
      <c r="N324" t="inlineStr">
        <is>
          <t>After a successful attack on your Personality</t>
        </is>
      </c>
      <c r="O324" t="inlineStr">
        <is>
          <t>One successful Attack to Control or Destroy on a Personality you control</t>
        </is>
      </c>
      <c r="P324" t="inlineStr">
        <is>
          <t>None</t>
        </is>
      </c>
      <c r="Q324" t="inlineStr">
        <is>
          <t>Immediate</t>
        </is>
      </c>
      <c r="R324" t="inlineStr">
        <is>
          <t>Successful attack becomes a failure</t>
        </is>
      </c>
      <c r="S324" t="inlineStr">
        <is>
          <t>NO</t>
        </is>
      </c>
      <c r="T324" t="inlineStr">
        <is>
          <t>N/A</t>
        </is>
      </c>
      <c r="U324" t="inlineStr">
        <is>
          <t>N/A</t>
        </is>
      </c>
      <c r="V324" t="inlineStr">
        <is>
          <t>N/A — INWO uses Plots instead of group income/money</t>
        </is>
      </c>
      <c r="W324" t="inlineStr">
        <is>
          <t>N/A</t>
        </is>
      </c>
      <c r="X324" t="inlineStr">
        <is>
          <t>No card-specific limit (base duplicate rules apply)</t>
        </is>
      </c>
      <c r="Y324" t="inlineStr">
        <is>
          <t>Target attack must be a successful Control or Destroy attack on your Personality and not an Assassination</t>
        </is>
      </c>
      <c r="Z324" t="inlineStr">
        <is>
          <t>Standard response window</t>
        </is>
      </c>
      <c r="AA324" t="inlineStr">
        <is>
          <t>Specific card overrides general rules</t>
        </is>
      </c>
      <c r="AB324" t="inlineStr">
        <is>
          <t>Full card scan read; behaviour paraphrased (no card text copied)</t>
        </is>
      </c>
      <c r="AC324" t="inlineStr">
        <is>
          <t>FUNCTIONALLY COMPLETE</t>
        </is>
      </c>
      <c r="AD324" t="inlineStr">
        <is>
          <t>None</t>
        </is>
      </c>
      <c r="AE324" t="inlineStr">
        <is>
          <t>Card scan (GitHub: Cha0smagick/Virtual-Illuminati-New-World-order-INWO-game), read Sep 2026</t>
        </is>
      </c>
      <c r="AF324" t="inlineStr">
        <is>
          <t>N/A</t>
        </is>
      </c>
      <c r="AG324" t="inlineStr">
        <is>
          <t>N/A</t>
        </is>
      </c>
      <c r="AH324" t="inlineStr">
        <is>
          <t>N/A</t>
        </is>
      </c>
      <c r="AI324" t="inlineStr">
        <is>
          <t>N/A</t>
        </is>
      </c>
      <c r="AJ324" t="inlineStr">
        <is>
          <t>N/A</t>
        </is>
      </c>
      <c r="AK324" t="inlineStr">
        <is>
          <t>Official rules: non-Group card types do not use normal Group control-arrow geometry.</t>
        </is>
      </c>
    </row>
    <row r="325" ht="34" customHeight="1" s="16">
      <c r="A325" s="20" t="inlineStr">
        <is>
          <t>Red Scare</t>
        </is>
      </c>
      <c r="B325" s="20" t="inlineStr">
        <is>
          <t>Plot</t>
        </is>
      </c>
      <c r="C325" s="20" t="inlineStr">
        <is>
          <t>Plot</t>
        </is>
      </c>
      <c r="D325" s="20" t="inlineStr">
        <is>
          <t>Uncommon</t>
        </is>
      </c>
      <c r="E325" s="20" t="str"/>
      <c r="F325" s="20" t="str"/>
      <c r="G325" s="20" t="str"/>
      <c r="H325" s="20" t="str"/>
      <c r="I325" s="20" t="inlineStr">
        <is>
          <t>Play at any time by spending your Illuminati's action. Give an Action token to Conservative groups of yours that have none: several whose Power adds up to 5 or less, or any single one. Groups captured this turn, or barred from receiving Action tokens by a card or special ability, cannot be chosen. (Official correction applied.)</t>
        </is>
      </c>
      <c r="J325" s="20" t="inlineStr">
        <is>
          <t>Needs rules-engine encoding</t>
        </is>
      </c>
      <c r="K325" s="20" t="inlineStr">
        <is>
          <t>High</t>
        </is>
      </c>
      <c r="L325" s="20" t="str"/>
      <c r="M325" s="20" t="inlineStr">
        <is>
          <t>https://github.com/Cha0smagick/Virtual-Illuminati-New-World-order-INWO-game</t>
        </is>
      </c>
      <c r="N325" t="inlineStr">
        <is>
          <t>Play at any time</t>
        </is>
      </c>
      <c r="O325" t="inlineStr">
        <is>
          <t>Your Conservative groups without an Action token, not captured this turn: up to 5 total Power, or any one group</t>
        </is>
      </c>
      <c r="P325" t="inlineStr">
        <is>
          <t>1 Illuminati action (errata)</t>
        </is>
      </c>
      <c r="Q325" t="inlineStr">
        <is>
          <t>Immediate</t>
        </is>
      </c>
      <c r="R325" t="inlineStr">
        <is>
          <t>Chosen Conservative groups of yours with no Action token gain one (5 total Power at most, or a single group of any Power)</t>
        </is>
      </c>
      <c r="S325" t="inlineStr">
        <is>
          <t>NO</t>
        </is>
      </c>
      <c r="T325" t="inlineStr">
        <is>
          <t>N/A</t>
        </is>
      </c>
      <c r="U325" t="inlineStr">
        <is>
          <t>N/A</t>
        </is>
      </c>
      <c r="V325" t="inlineStr">
        <is>
          <t>N/A — INWO uses Plots instead of group income/money</t>
        </is>
      </c>
      <c r="W325" t="inlineStr">
        <is>
          <t>N/A</t>
        </is>
      </c>
      <c r="X325" t="inlineStr">
        <is>
          <t>No card-specific limit (base duplicate rules apply)</t>
        </is>
      </c>
      <c r="Y325" t="inlineStr">
        <is>
          <t>None beyond base rules</t>
        </is>
      </c>
      <c r="Z325" t="inlineStr">
        <is>
          <t>Standard response window</t>
        </is>
      </c>
      <c r="AA325" t="inlineStr">
        <is>
          <t>Specific card overrides general rules</t>
        </is>
      </c>
      <c r="AB325" t="inlineStr">
        <is>
          <t>Full card scan read; behaviour paraphrased (no card text copied)</t>
        </is>
      </c>
      <c r="AC325" t="inlineStr">
        <is>
          <t>FUNCTIONALLY COMPLETE</t>
        </is>
      </c>
      <c r="AD325" t="inlineStr">
        <is>
          <t>None</t>
        </is>
      </c>
      <c r="AE325" t="inlineStr">
        <is>
          <t>Card scan (GitHub: Cha0smagick/Virtual-Illuminati-New-World-order-INWO-game), read Sep 2026</t>
        </is>
      </c>
      <c r="AF325" t="inlineStr">
        <is>
          <t>N/A</t>
        </is>
      </c>
      <c r="AG325" t="inlineStr">
        <is>
          <t>N/A</t>
        </is>
      </c>
      <c r="AH325" t="inlineStr">
        <is>
          <t>N/A</t>
        </is>
      </c>
      <c r="AI325" t="inlineStr">
        <is>
          <t>N/A</t>
        </is>
      </c>
      <c r="AJ325" t="inlineStr">
        <is>
          <t>N/A</t>
        </is>
      </c>
      <c r="AK325" t="inlineStr">
        <is>
          <t>Official rules: non-Group card types do not use normal Group control-arrow geometry.</t>
        </is>
      </c>
    </row>
    <row r="326" ht="34" customHeight="1" s="16">
      <c r="A326" s="20" t="inlineStr">
        <is>
          <t>Reload</t>
        </is>
      </c>
      <c r="B326" s="20" t="inlineStr">
        <is>
          <t>Plot</t>
        </is>
      </c>
      <c r="C326" s="20" t="inlineStr">
        <is>
          <t>Plot</t>
        </is>
      </c>
      <c r="D326" s="20" t="inlineStr">
        <is>
          <t>Uncommon</t>
        </is>
      </c>
      <c r="E326" s="20" t="str"/>
      <c r="F326" s="20" t="str"/>
      <c r="G326" s="20" t="str"/>
      <c r="H326" s="20" t="str"/>
      <c r="I326" s="20" t="inlineStr">
        <is>
          <t>Play at any time by spending your Illuminati's action. Give an Action token to Violent groups of yours that have none: several whose Power adds up to 5 or less, or any single one. Groups captured this turn, or barred from receiving Action tokens by a card or special ability, cannot be chosen. (Official correction applied.)</t>
        </is>
      </c>
      <c r="J326" s="20" t="inlineStr">
        <is>
          <t>Needs rules-engine encoding</t>
        </is>
      </c>
      <c r="K326" s="20" t="inlineStr">
        <is>
          <t>High</t>
        </is>
      </c>
      <c r="L326" s="20" t="inlineStr">
        <is>
          <t>Printed title is 'Reload!'.</t>
        </is>
      </c>
      <c r="M326" s="20" t="inlineStr">
        <is>
          <t>https://github.com/Cha0smagick/Virtual-Illuminati-New-World-order-INWO-game</t>
        </is>
      </c>
      <c r="N326" t="inlineStr">
        <is>
          <t>Play at any time</t>
        </is>
      </c>
      <c r="O326" t="inlineStr">
        <is>
          <t>Your Violent groups without an Action token, not captured this turn: up to 5 total Power, or any one group</t>
        </is>
      </c>
      <c r="P326" t="inlineStr">
        <is>
          <t>1 Illuminati action (errata)</t>
        </is>
      </c>
      <c r="Q326" t="inlineStr">
        <is>
          <t>Immediate</t>
        </is>
      </c>
      <c r="R326" t="inlineStr">
        <is>
          <t>Chosen Violent groups of yours with no Action token gain one (5 total Power at most, or a single group of any Power)</t>
        </is>
      </c>
      <c r="S326" t="inlineStr">
        <is>
          <t>NO</t>
        </is>
      </c>
      <c r="T326" t="inlineStr">
        <is>
          <t>N/A</t>
        </is>
      </c>
      <c r="U326" t="inlineStr">
        <is>
          <t>N/A</t>
        </is>
      </c>
      <c r="V326" t="inlineStr">
        <is>
          <t>N/A — INWO uses Plots instead of group income/money</t>
        </is>
      </c>
      <c r="W326" t="inlineStr">
        <is>
          <t>N/A</t>
        </is>
      </c>
      <c r="X326" t="inlineStr">
        <is>
          <t>No card-specific limit (base duplicate rules apply)</t>
        </is>
      </c>
      <c r="Y326" t="inlineStr">
        <is>
          <t>None beyond base rules</t>
        </is>
      </c>
      <c r="Z326" t="inlineStr">
        <is>
          <t>Standard response window</t>
        </is>
      </c>
      <c r="AA326" t="inlineStr">
        <is>
          <t>Specific card overrides general rules</t>
        </is>
      </c>
      <c r="AB326" t="inlineStr">
        <is>
          <t>Full card scan read; behaviour paraphrased (no card text copied)</t>
        </is>
      </c>
      <c r="AC326" t="inlineStr">
        <is>
          <t>FUNCTIONALLY COMPLETE</t>
        </is>
      </c>
      <c r="AD326" t="inlineStr">
        <is>
          <t>None</t>
        </is>
      </c>
      <c r="AE326" t="inlineStr">
        <is>
          <t>Card scan (GitHub: Cha0smagick/Virtual-Illuminati-New-World-order-INWO-game), read Sep 2026</t>
        </is>
      </c>
      <c r="AF326" t="inlineStr">
        <is>
          <t>N/A</t>
        </is>
      </c>
      <c r="AG326" t="inlineStr">
        <is>
          <t>N/A</t>
        </is>
      </c>
      <c r="AH326" t="inlineStr">
        <is>
          <t>N/A</t>
        </is>
      </c>
      <c r="AI326" t="inlineStr">
        <is>
          <t>N/A</t>
        </is>
      </c>
      <c r="AJ326" t="inlineStr">
        <is>
          <t>N/A</t>
        </is>
      </c>
      <c r="AK326" t="inlineStr">
        <is>
          <t>Official rules: non-Group card types do not use normal Group control-arrow geometry.</t>
        </is>
      </c>
    </row>
    <row r="327" ht="34" customHeight="1" s="16">
      <c r="A327" s="20" t="inlineStr">
        <is>
          <t>Reorganization</t>
        </is>
      </c>
      <c r="B327" s="20" t="inlineStr">
        <is>
          <t>Plot</t>
        </is>
      </c>
      <c r="C327" s="20" t="inlineStr">
        <is>
          <t>Plot</t>
        </is>
      </c>
      <c r="D327" s="20" t="inlineStr">
        <is>
          <t>Common</t>
        </is>
      </c>
      <c r="E327" s="20" t="str"/>
      <c r="F327" s="20" t="str"/>
      <c r="G327" s="20" t="str"/>
      <c r="H327" s="20" t="str"/>
      <c r="I327" s="20" t="inlineStr">
        <is>
          <t>During your own turn you may rearrange your whole Power Structure however you like (moving groups to any legal positions). Costs one action from your Illuminati.</t>
        </is>
      </c>
      <c r="J327" s="20" t="inlineStr">
        <is>
          <t>Needs rules-engine encoding</t>
        </is>
      </c>
      <c r="K327" s="20" t="inlineStr">
        <is>
          <t>High</t>
        </is>
      </c>
      <c r="L327" s="20" t="inlineStr">
        <is>
          <t>Card does not spell out legality limits; assume standard control-arrow rules still apply.</t>
        </is>
      </c>
      <c r="M327" s="20" t="inlineStr">
        <is>
          <t>https://github.com/Cha0smagick/Virtual-Illuminati-New-World-order-INWO-game</t>
        </is>
      </c>
      <c r="N327" t="inlineStr">
        <is>
          <t>Your own turn, any time</t>
        </is>
      </c>
      <c r="O327" t="inlineStr">
        <is>
          <t>Your entire Power Structure</t>
        </is>
      </c>
      <c r="P327" t="inlineStr">
        <is>
          <t>1 Illuminati action</t>
        </is>
      </c>
      <c r="Q327" t="inlineStr">
        <is>
          <t>Immediate</t>
        </is>
      </c>
      <c r="R327" t="inlineStr">
        <is>
          <t>Freely reorganize all groups in your Power Structure (placement only; still must obey normal arrow/structure legality)</t>
        </is>
      </c>
      <c r="S327" t="inlineStr">
        <is>
          <t>NO</t>
        </is>
      </c>
      <c r="T327" t="inlineStr">
        <is>
          <t>N/A</t>
        </is>
      </c>
      <c r="U327" t="inlineStr">
        <is>
          <t>N/A</t>
        </is>
      </c>
      <c r="V327" t="inlineStr">
        <is>
          <t>N/A — INWO uses Plots instead of group income/money</t>
        </is>
      </c>
      <c r="W327" t="inlineStr">
        <is>
          <t>N/A</t>
        </is>
      </c>
      <c r="X327" t="inlineStr">
        <is>
          <t>No card-specific limit (base duplicate rules apply)</t>
        </is>
      </c>
      <c r="Y327" t="inlineStr">
        <is>
          <t>Must be your turn; your Illuminati must have an unused action</t>
        </is>
      </c>
      <c r="Z327" t="inlineStr">
        <is>
          <t>Standard response window</t>
        </is>
      </c>
      <c r="AA327" t="inlineStr">
        <is>
          <t>Specific card overrides general rules</t>
        </is>
      </c>
      <c r="AB327" t="inlineStr">
        <is>
          <t>Full card scan read; behaviour paraphrased (no card text copied)</t>
        </is>
      </c>
      <c r="AC327" t="inlineStr">
        <is>
          <t>FUNCTIONALLY COMPLETE</t>
        </is>
      </c>
      <c r="AD327" t="inlineStr">
        <is>
          <t>None</t>
        </is>
      </c>
      <c r="AE327" t="inlineStr">
        <is>
          <t>Card scan (GitHub: Cha0smagick/Virtual-Illuminati-New-World-order-INWO-game), read Sep 2026</t>
        </is>
      </c>
      <c r="AF327" t="inlineStr">
        <is>
          <t>N/A</t>
        </is>
      </c>
      <c r="AG327" t="inlineStr">
        <is>
          <t>N/A</t>
        </is>
      </c>
      <c r="AH327" t="inlineStr">
        <is>
          <t>N/A</t>
        </is>
      </c>
      <c r="AI327" t="inlineStr">
        <is>
          <t>N/A</t>
        </is>
      </c>
      <c r="AJ327" t="inlineStr">
        <is>
          <t>N/A</t>
        </is>
      </c>
      <c r="AK327" t="inlineStr">
        <is>
          <t>Official rules: non-Group card types do not use normal Group control-arrow geometry.</t>
        </is>
      </c>
    </row>
    <row r="328" ht="34" customHeight="1" s="16">
      <c r="A328" s="20" t="inlineStr">
        <is>
          <t>Resistance is Useless</t>
        </is>
      </c>
      <c r="B328" s="20" t="inlineStr">
        <is>
          <t>Plot</t>
        </is>
      </c>
      <c r="C328" s="20" t="inlineStr">
        <is>
          <t>Plot</t>
        </is>
      </c>
      <c r="D328" s="20" t="inlineStr">
        <is>
          <t>Rare</t>
        </is>
      </c>
      <c r="E328" s="20" t="str"/>
      <c r="F328" s="20" t="str"/>
      <c r="G328" s="20" t="str"/>
      <c r="H328" s="20" t="str"/>
      <c r="I328" s="20" t="inlineStr">
        <is>
          <t>Until this turn ends, the target group has Resistance 0, with no Resistance bonus from special abilities or from the alignments of its master. Its usual +5/+10 for being close to its controlling Illuminati is unaffected. A Media group must play it, spending its action.</t>
        </is>
      </c>
      <c r="J328" s="20" t="inlineStr">
        <is>
          <t>Needs rules-engine encoding</t>
        </is>
      </c>
      <c r="K328" s="20" t="inlineStr">
        <is>
          <t>High</t>
        </is>
      </c>
      <c r="L328" s="20" t="str"/>
      <c r="M328" s="20" t="inlineStr">
        <is>
          <t>https://github.com/Cha0smagick/Virtual-Illuminati-New-World-order-INWO-game</t>
        </is>
      </c>
      <c r="N328" t="inlineStr">
        <is>
          <t>Any time (uses a Media group's action)</t>
        </is>
      </c>
      <c r="O328" t="inlineStr">
        <is>
          <t>Any one group</t>
        </is>
      </c>
      <c r="P328" t="inlineStr">
        <is>
          <t>Action of one Media group you control</t>
        </is>
      </c>
      <c r="Q328" t="inlineStr">
        <is>
          <t>Until end of current turn</t>
        </is>
      </c>
      <c r="R328" t="inlineStr">
        <is>
          <t>Target base Resistance = 0; ignore alignment/special-ability Resistance bonuses from master; proximity-to-Illuminati bonus (+5/+10) still applies</t>
        </is>
      </c>
      <c r="S328" t="inlineStr">
        <is>
          <t>NO</t>
        </is>
      </c>
      <c r="T328" t="inlineStr">
        <is>
          <t>N/A</t>
        </is>
      </c>
      <c r="U328" t="inlineStr">
        <is>
          <t>N/A</t>
        </is>
      </c>
      <c r="V328" t="inlineStr">
        <is>
          <t>N/A — INWO uses Plots instead of group income/money</t>
        </is>
      </c>
      <c r="W328" t="inlineStr">
        <is>
          <t>N/A</t>
        </is>
      </c>
      <c r="X328" t="inlineStr">
        <is>
          <t>No card-specific limit (base duplicate rules apply)</t>
        </is>
      </c>
      <c r="Y328" t="inlineStr">
        <is>
          <t>Must be used by a Media group with an available action</t>
        </is>
      </c>
      <c r="Z328" t="inlineStr">
        <is>
          <t>Standard response window</t>
        </is>
      </c>
      <c r="AA328" t="inlineStr">
        <is>
          <t>Specific card overrides general rules</t>
        </is>
      </c>
      <c r="AB328" t="inlineStr">
        <is>
          <t>Full card scan read; behaviour paraphrased (no card text copied)</t>
        </is>
      </c>
      <c r="AC328" t="inlineStr">
        <is>
          <t>FUNCTIONALLY COMPLETE</t>
        </is>
      </c>
      <c r="AD328" t="inlineStr">
        <is>
          <t>None</t>
        </is>
      </c>
      <c r="AE328" t="inlineStr">
        <is>
          <t>Card scan (GitHub: Cha0smagick/Virtual-Illuminati-New-World-order-INWO-game), read Sep 2026</t>
        </is>
      </c>
      <c r="AF328" t="inlineStr">
        <is>
          <t>N/A</t>
        </is>
      </c>
      <c r="AG328" t="inlineStr">
        <is>
          <t>N/A</t>
        </is>
      </c>
      <c r="AH328" t="inlineStr">
        <is>
          <t>N/A</t>
        </is>
      </c>
      <c r="AI328" t="inlineStr">
        <is>
          <t>N/A</t>
        </is>
      </c>
      <c r="AJ328" t="inlineStr">
        <is>
          <t>N/A</t>
        </is>
      </c>
      <c r="AK328" t="inlineStr">
        <is>
          <t>Official rules: non-Group card types do not use normal Group control-arrow geometry.</t>
        </is>
      </c>
    </row>
    <row r="329" ht="34" customHeight="1" s="16">
      <c r="A329" s="20" t="inlineStr">
        <is>
          <t>Revolution</t>
        </is>
      </c>
      <c r="B329" s="20" t="inlineStr">
        <is>
          <t>Plot</t>
        </is>
      </c>
      <c r="C329" s="20" t="inlineStr">
        <is>
          <t>Plot</t>
        </is>
      </c>
      <c r="D329" s="20" t="inlineStr">
        <is>
          <t>Uncommon</t>
        </is>
      </c>
      <c r="E329" s="20" t="str"/>
      <c r="F329" s="20" t="str"/>
      <c r="G329" s="20" t="str"/>
      <c r="H329" s="20" t="str"/>
      <c r="I329" s="20" t="inlineStr">
        <is>
          <t>Played along with any attack against a Nation, whether to control or to destroy. Adds +10 to the attack, or +20 if the Nation is a Dictatorship. Needs an action from a group that is NOT one of the groups making the attack.</t>
        </is>
      </c>
      <c r="J329" s="20" t="inlineStr">
        <is>
          <t>Needs rules-engine encoding</t>
        </is>
      </c>
      <c r="K329" s="20" t="inlineStr">
        <is>
          <t>High</t>
        </is>
      </c>
      <c r="L329" s="20" t="str"/>
      <c r="M329" s="20" t="inlineStr">
        <is>
          <t>https://github.com/Cha0smagick/Virtual-Illuminati-New-World-order-INWO-game</t>
        </is>
      </c>
      <c r="N329" t="inlineStr">
        <is>
          <t>With an attack (control or destroy) on a Nation</t>
        </is>
      </c>
      <c r="O329" t="inlineStr">
        <is>
          <t>Attack against a Nation</t>
        </is>
      </c>
      <c r="P329" t="inlineStr">
        <is>
          <t>Action of a group not participating in the attack</t>
        </is>
      </c>
      <c r="Q329" t="inlineStr">
        <is>
          <t>That one attack</t>
        </is>
      </c>
      <c r="R329" t="inlineStr">
        <is>
          <t>+10 to attack vs Nation; +20 instead if target is a Dictatorship</t>
        </is>
      </c>
      <c r="S329" t="inlineStr">
        <is>
          <t>NO</t>
        </is>
      </c>
      <c r="T329" t="inlineStr">
        <is>
          <t>N/A</t>
        </is>
      </c>
      <c r="U329" t="inlineStr">
        <is>
          <t>N/A</t>
        </is>
      </c>
      <c r="V329" t="inlineStr">
        <is>
          <t>N/A — INWO uses Plots instead of group income/money</t>
        </is>
      </c>
      <c r="W329" t="inlineStr">
        <is>
          <t>N/A</t>
        </is>
      </c>
      <c r="X329" t="inlineStr">
        <is>
          <t>No card-specific limit (base duplicate rules apply)</t>
        </is>
      </c>
      <c r="Y329" t="inlineStr">
        <is>
          <t>Target of the attack must be a Nation; action must come from a group other than the attackers</t>
        </is>
      </c>
      <c r="Z329" t="inlineStr">
        <is>
          <t>Standard response window</t>
        </is>
      </c>
      <c r="AA329" t="inlineStr">
        <is>
          <t>Specific card overrides general rules</t>
        </is>
      </c>
      <c r="AB329" t="inlineStr">
        <is>
          <t>Full card scan read; behaviour paraphrased (no card text copied)</t>
        </is>
      </c>
      <c r="AC329" t="inlineStr">
        <is>
          <t>FUNCTIONALLY COMPLETE</t>
        </is>
      </c>
      <c r="AD329" t="inlineStr">
        <is>
          <t>None</t>
        </is>
      </c>
      <c r="AE329" t="inlineStr">
        <is>
          <t>Card scan (GitHub: Cha0smagick/Virtual-Illuminati-New-World-order-INWO-game), read Sep 2026</t>
        </is>
      </c>
      <c r="AF329" t="inlineStr">
        <is>
          <t>N/A</t>
        </is>
      </c>
      <c r="AG329" t="inlineStr">
        <is>
          <t>N/A</t>
        </is>
      </c>
      <c r="AH329" t="inlineStr">
        <is>
          <t>N/A</t>
        </is>
      </c>
      <c r="AI329" t="inlineStr">
        <is>
          <t>N/A</t>
        </is>
      </c>
      <c r="AJ329" t="inlineStr">
        <is>
          <t>N/A</t>
        </is>
      </c>
      <c r="AK329" t="inlineStr">
        <is>
          <t>Official rules: non-Group card types do not use normal Group control-arrow geometry.</t>
        </is>
      </c>
    </row>
    <row r="330" ht="34" customHeight="1" s="16">
      <c r="A330" s="20" t="inlineStr">
        <is>
          <t>Rewriting History</t>
        </is>
      </c>
      <c r="B330" s="20" t="inlineStr">
        <is>
          <t>Plot</t>
        </is>
      </c>
      <c r="C330" s="20" t="inlineStr">
        <is>
          <t>Plot</t>
        </is>
      </c>
      <c r="D330" s="20" t="inlineStr">
        <is>
          <t>Rare</t>
        </is>
      </c>
      <c r="E330" s="20" t="str"/>
      <c r="F330" s="20" t="str"/>
      <c r="G330" s="20" t="str"/>
      <c r="H330" s="20" t="str"/>
      <c r="I330" s="20" t="inlineStr">
        <is>
          <t>Pick one destroyed group (in the dead pile) and retroactively add, remove, or reverse one of its alignments. This can change whether it counts toward Goals based on destroying groups of a given alignment. Playable any time; needs an Illuminati action or actions from Media groups with combined Power of at least 8.</t>
        </is>
      </c>
      <c r="J330" s="20" t="inlineStr">
        <is>
          <t>Needs rules-engine encoding</t>
        </is>
      </c>
      <c r="K330" s="20" t="inlineStr">
        <is>
          <t>High</t>
        </is>
      </c>
      <c r="L330" s="20" t="str"/>
      <c r="M330" s="20" t="inlineStr">
        <is>
          <t>https://github.com/Cha0smagick/Virtual-Illuminati-New-World-order-INWO-game</t>
        </is>
      </c>
      <c r="N330" t="inlineStr">
        <is>
          <t>Play at any time</t>
        </is>
      </c>
      <c r="O330" t="inlineStr">
        <is>
          <t>One destroyed group</t>
        </is>
      </c>
      <c r="P330" t="inlineStr">
        <is>
          <t>1 Illuminati action OR actions of Media groups totaling Power 8+</t>
        </is>
      </c>
      <c r="Q330" t="inlineStr">
        <is>
          <t>Permanent</t>
        </is>
      </c>
      <c r="R330" t="inlineStr">
        <is>
          <t>Add, remove, or reverse exactly one alignment on a destroyed group (affects destroy-count Goals)</t>
        </is>
      </c>
      <c r="S330" t="inlineStr">
        <is>
          <t>NO</t>
        </is>
      </c>
      <c r="T330" t="inlineStr">
        <is>
          <t>N/A</t>
        </is>
      </c>
      <c r="U330" t="inlineStr">
        <is>
          <t>N/A</t>
        </is>
      </c>
      <c r="V330" t="inlineStr">
        <is>
          <t>N/A — INWO uses Plots instead of group income/money</t>
        </is>
      </c>
      <c r="W330" t="inlineStr">
        <is>
          <t>N/A</t>
        </is>
      </c>
      <c r="X330" t="inlineStr">
        <is>
          <t>No card-specific limit (base duplicate rules apply)</t>
        </is>
      </c>
      <c r="Y330" t="inlineStr">
        <is>
          <t>Target must be a destroyed group; Media option requires combined Power &gt;= 8</t>
        </is>
      </c>
      <c r="Z330" t="inlineStr">
        <is>
          <t>Standard response window</t>
        </is>
      </c>
      <c r="AA330" t="inlineStr">
        <is>
          <t>Specific card overrides general rules</t>
        </is>
      </c>
      <c r="AB330" t="inlineStr">
        <is>
          <t>Full card scan read; behaviour paraphrased (no card text copied)</t>
        </is>
      </c>
      <c r="AC330" t="inlineStr">
        <is>
          <t>FUNCTIONALLY COMPLETE</t>
        </is>
      </c>
      <c r="AD330" t="inlineStr">
        <is>
          <t>None</t>
        </is>
      </c>
      <c r="AE330" t="inlineStr">
        <is>
          <t>Card scan (GitHub: Cha0smagick/Virtual-Illuminati-New-World-order-INWO-game), read Sep 2026</t>
        </is>
      </c>
      <c r="AF330" t="inlineStr">
        <is>
          <t>N/A</t>
        </is>
      </c>
      <c r="AG330" t="inlineStr">
        <is>
          <t>N/A</t>
        </is>
      </c>
      <c r="AH330" t="inlineStr">
        <is>
          <t>N/A</t>
        </is>
      </c>
      <c r="AI330" t="inlineStr">
        <is>
          <t>N/A</t>
        </is>
      </c>
      <c r="AJ330" t="inlineStr">
        <is>
          <t>N/A</t>
        </is>
      </c>
      <c r="AK330" t="inlineStr">
        <is>
          <t>Official rules: non-Group card types do not use normal Group control-arrow geometry.</t>
        </is>
      </c>
    </row>
    <row r="331" ht="34" customHeight="1" s="16">
      <c r="A331" s="20" t="inlineStr">
        <is>
          <t>Sabotage</t>
        </is>
      </c>
      <c r="B331" s="20" t="inlineStr">
        <is>
          <t>Plot</t>
        </is>
      </c>
      <c r="C331" s="20" t="inlineStr">
        <is>
          <t>Plot</t>
        </is>
      </c>
      <c r="D331" s="20" t="inlineStr">
        <is>
          <t>Rare</t>
        </is>
      </c>
      <c r="E331" s="20" t="str"/>
      <c r="F331" s="20" t="str"/>
      <c r="G331" s="20" t="str"/>
      <c r="H331" s="20" t="str"/>
      <c r="I331" s="20" t="inlineStr">
        <is>
          <t>Play when a rival plays a Group from hand for an automatic takeover. That Group goes back to his hand and he cannot make any automatic takeover for the rest of that turn. Costs an action from your Illuminati, or actions from groups totaling Power 6 or more where at least one of them shares an alignment with the Group being taken over.</t>
        </is>
      </c>
      <c r="J331" s="20" t="inlineStr">
        <is>
          <t>Needs rules-engine encoding</t>
        </is>
      </c>
      <c r="K331" s="20" t="inlineStr">
        <is>
          <t>High</t>
        </is>
      </c>
      <c r="L331" s="20" t="str"/>
      <c r="M331" s="20" t="inlineStr">
        <is>
          <t>https://github.com/Cha0smagick/Virtual-Illuminati-New-World-order-INWO-game</t>
        </is>
      </c>
      <c r="N331" t="inlineStr">
        <is>
          <t>In response to a rival's automatic takeover</t>
        </is>
      </c>
      <c r="O331" t="inlineStr">
        <is>
          <t>Rival's automatic takeover attempt</t>
        </is>
      </c>
      <c r="P331" t="inlineStr">
        <is>
          <t>1 Illuminati action OR actions of groups totaling Power 6+ (at least one sharing an alignment with the target Group)</t>
        </is>
      </c>
      <c r="Q331" t="inlineStr">
        <is>
          <t>Rest of that turn</t>
        </is>
      </c>
      <c r="R331" t="inlineStr">
        <is>
          <t>Cancel automatic takeover; Group returned to rival's hand; rival barred from automatic takeovers this turn</t>
        </is>
      </c>
      <c r="S331" t="inlineStr">
        <is>
          <t>NO</t>
        </is>
      </c>
      <c r="T331" t="inlineStr">
        <is>
          <t>N/A</t>
        </is>
      </c>
      <c r="U331" t="inlineStr">
        <is>
          <t>N/A</t>
        </is>
      </c>
      <c r="V331" t="inlineStr">
        <is>
          <t>N/A — INWO uses Plots instead of group income/money</t>
        </is>
      </c>
      <c r="W331" t="inlineStr">
        <is>
          <t>N/A</t>
        </is>
      </c>
      <c r="X331" t="inlineStr">
        <is>
          <t>No card-specific limit (base duplicate rules apply)</t>
        </is>
      </c>
      <c r="Y331" t="inlineStr">
        <is>
          <t>Rival must be attempting an automatic takeover; if using groups, one must share an alignment with the Group</t>
        </is>
      </c>
      <c r="Z331" t="inlineStr">
        <is>
          <t>Standard response window</t>
        </is>
      </c>
      <c r="AA331" t="inlineStr">
        <is>
          <t>Specific card overrides general rules</t>
        </is>
      </c>
      <c r="AB331" t="inlineStr">
        <is>
          <t>Full card scan read; behaviour paraphrased (no card text copied)</t>
        </is>
      </c>
      <c r="AC331" t="inlineStr">
        <is>
          <t>FUNCTIONALLY COMPLETE</t>
        </is>
      </c>
      <c r="AD331" t="inlineStr">
        <is>
          <t>None</t>
        </is>
      </c>
      <c r="AE331" t="inlineStr">
        <is>
          <t>Card scan (GitHub: Cha0smagick/Virtual-Illuminati-New-World-order-INWO-game), read Sep 2026</t>
        </is>
      </c>
      <c r="AF331" t="inlineStr">
        <is>
          <t>N/A</t>
        </is>
      </c>
      <c r="AG331" t="inlineStr">
        <is>
          <t>N/A</t>
        </is>
      </c>
      <c r="AH331" t="inlineStr">
        <is>
          <t>N/A</t>
        </is>
      </c>
      <c r="AI331" t="inlineStr">
        <is>
          <t>N/A</t>
        </is>
      </c>
      <c r="AJ331" t="inlineStr">
        <is>
          <t>N/A</t>
        </is>
      </c>
      <c r="AK331" t="inlineStr">
        <is>
          <t>Official rules: non-Group card types do not use normal Group control-arrow geometry.</t>
        </is>
      </c>
    </row>
    <row r="332" ht="34" customHeight="1" s="16">
      <c r="A332" s="20" t="inlineStr">
        <is>
          <t>Save the Whales</t>
        </is>
      </c>
      <c r="B332" s="20" t="inlineStr">
        <is>
          <t>Plot</t>
        </is>
      </c>
      <c r="C332" s="20" t="inlineStr">
        <is>
          <t>Plot</t>
        </is>
      </c>
      <c r="D332" s="20" t="inlineStr">
        <is>
          <t>Common</t>
        </is>
      </c>
      <c r="E332" s="20" t="str"/>
      <c r="F332" s="20" t="str"/>
      <c r="G332" s="20" t="str"/>
      <c r="H332" s="20" t="str"/>
      <c r="I332" s="20" t="inlineStr">
        <is>
          <t>Give one Green group you control +10, applied either to its Power or to its Resistance (player picks). When boosting an action, it must be played at the moment the action is declared and applies only to that single action. When used defensively, the Resistance bonus lasts until end of the current turn and is not counted for Goals.</t>
        </is>
      </c>
      <c r="J332" s="20" t="inlineStr">
        <is>
          <t>Needs rules-engine encoding</t>
        </is>
      </c>
      <c r="K332" s="20" t="inlineStr">
        <is>
          <t>High</t>
        </is>
      </c>
      <c r="L332" s="20" t="str"/>
      <c r="M332" s="20" t="inlineStr">
        <is>
          <t>https://github.com/Cha0smagick/Virtual-Illuminati-New-World-order-INWO-game</t>
        </is>
      </c>
      <c r="N332" t="inlineStr">
        <is>
          <t>Play at any time (with an action: only when that action is first declared)</t>
        </is>
      </c>
      <c r="O332" t="inlineStr">
        <is>
          <t>One Green group you control</t>
        </is>
      </c>
      <c r="P332" t="inlineStr">
        <is>
          <t>None</t>
        </is>
      </c>
      <c r="Q332" t="inlineStr">
        <is>
          <t>Single action (offense) or until end of current turn (defense)</t>
        </is>
      </c>
      <c r="R332" t="inlineStr">
        <is>
          <t>+10 Power or +10 Resistance (choice) to one controlled group; defensive bonus ignored for Goals</t>
        </is>
      </c>
      <c r="S332" t="inlineStr">
        <is>
          <t>NO</t>
        </is>
      </c>
      <c r="T332" t="inlineStr">
        <is>
          <t>N/A</t>
        </is>
      </c>
      <c r="U332" t="inlineStr">
        <is>
          <t>N/A</t>
        </is>
      </c>
      <c r="V332" t="inlineStr">
        <is>
          <t>N/A — INWO uses Plots instead of group income/money</t>
        </is>
      </c>
      <c r="W332" t="inlineStr">
        <is>
          <t>N/A</t>
        </is>
      </c>
      <c r="X332" t="inlineStr">
        <is>
          <t>No card-specific limit (base duplicate rules apply)</t>
        </is>
      </c>
      <c r="Y332" t="inlineStr">
        <is>
          <t>Target must be a Green group you control; if boosting an action, must be played when the action is declared</t>
        </is>
      </c>
      <c r="Z332" t="inlineStr">
        <is>
          <t>Standard response window</t>
        </is>
      </c>
      <c r="AA332" t="inlineStr">
        <is>
          <t>Specific card overrides general rules</t>
        </is>
      </c>
      <c r="AB332" t="inlineStr">
        <is>
          <t>Full card scan read; behaviour paraphrased (no card text copied)</t>
        </is>
      </c>
      <c r="AC332" t="inlineStr">
        <is>
          <t>FUNCTIONALLY COMPLETE</t>
        </is>
      </c>
      <c r="AD332" t="inlineStr">
        <is>
          <t>None</t>
        </is>
      </c>
      <c r="AE332" t="inlineStr">
        <is>
          <t>Card scan (GitHub: Cha0smagick/Virtual-Illuminati-New-World-order-INWO-game), read Sep 2026</t>
        </is>
      </c>
      <c r="AF332" t="inlineStr">
        <is>
          <t>N/A</t>
        </is>
      </c>
      <c r="AG332" t="inlineStr">
        <is>
          <t>N/A</t>
        </is>
      </c>
      <c r="AH332" t="inlineStr">
        <is>
          <t>N/A</t>
        </is>
      </c>
      <c r="AI332" t="inlineStr">
        <is>
          <t>N/A</t>
        </is>
      </c>
      <c r="AJ332" t="inlineStr">
        <is>
          <t>N/A</t>
        </is>
      </c>
      <c r="AK332" t="inlineStr">
        <is>
          <t>Official rules: non-Group card types do not use normal Group control-arrow geometry.</t>
        </is>
      </c>
    </row>
    <row r="333" ht="34" customHeight="1" s="16">
      <c r="A333" s="20" t="inlineStr">
        <is>
          <t>Savings &amp; Loan Scam</t>
        </is>
      </c>
      <c r="B333" s="20" t="inlineStr">
        <is>
          <t>Plot</t>
        </is>
      </c>
      <c r="C333" s="20" t="inlineStr">
        <is>
          <t>Plot</t>
        </is>
      </c>
      <c r="D333" s="20" t="inlineStr">
        <is>
          <t>Uncommon</t>
        </is>
      </c>
      <c r="E333" s="20" t="str"/>
      <c r="F333" s="20" t="str"/>
      <c r="G333" s="20" t="str"/>
      <c r="H333" s="20" t="str"/>
      <c r="I333" s="20" t="inlineStr">
        <is>
          <t>Play at any time with one group's action. Discard this card, then draw three cards from your Plot deck.</t>
        </is>
      </c>
      <c r="J333" s="20" t="inlineStr">
        <is>
          <t>Needs rules-engine encoding</t>
        </is>
      </c>
      <c r="K333" s="20" t="inlineStr">
        <is>
          <t>High</t>
        </is>
      </c>
      <c r="L333" s="20" t="str"/>
      <c r="M333" s="20" t="inlineStr">
        <is>
          <t>https://github.com/Cha0smagick/Virtual-Illuminati-New-World-order-INWO-game</t>
        </is>
      </c>
      <c r="N333" t="inlineStr">
        <is>
          <t>Play at any time</t>
        </is>
      </c>
      <c r="O333" t="inlineStr">
        <is>
          <t>Self</t>
        </is>
      </c>
      <c r="P333" t="inlineStr">
        <is>
          <t>Action of one group</t>
        </is>
      </c>
      <c r="Q333" t="inlineStr">
        <is>
          <t>Immediate</t>
        </is>
      </c>
      <c r="R333" t="inlineStr">
        <is>
          <t>Discard this card; draw 3 Plot cards</t>
        </is>
      </c>
      <c r="S333" t="inlineStr">
        <is>
          <t>NO</t>
        </is>
      </c>
      <c r="T333" t="inlineStr">
        <is>
          <t>N/A</t>
        </is>
      </c>
      <c r="U333" t="inlineStr">
        <is>
          <t>N/A</t>
        </is>
      </c>
      <c r="V333" t="inlineStr">
        <is>
          <t>N/A — INWO uses Plots instead of group income/money</t>
        </is>
      </c>
      <c r="W333" t="inlineStr">
        <is>
          <t>N/A</t>
        </is>
      </c>
      <c r="X333" t="inlineStr">
        <is>
          <t>No card-specific limit (base duplicate rules apply)</t>
        </is>
      </c>
      <c r="Y333" t="inlineStr">
        <is>
          <t>One of your groups must have an available action</t>
        </is>
      </c>
      <c r="Z333" t="inlineStr">
        <is>
          <t>Standard response window</t>
        </is>
      </c>
      <c r="AA333" t="inlineStr">
        <is>
          <t>Specific card overrides general rules</t>
        </is>
      </c>
      <c r="AB333" t="inlineStr">
        <is>
          <t>Full card scan read; behaviour paraphrased (no card text copied)</t>
        </is>
      </c>
      <c r="AC333" t="inlineStr">
        <is>
          <t>FUNCTIONALLY COMPLETE</t>
        </is>
      </c>
      <c r="AD333" t="inlineStr">
        <is>
          <t>None</t>
        </is>
      </c>
      <c r="AE333" t="inlineStr">
        <is>
          <t>Card scan (GitHub: Cha0smagick/Virtual-Illuminati-New-World-order-INWO-game), read Sep 2026</t>
        </is>
      </c>
      <c r="AF333" t="inlineStr">
        <is>
          <t>N/A</t>
        </is>
      </c>
      <c r="AG333" t="inlineStr">
        <is>
          <t>N/A</t>
        </is>
      </c>
      <c r="AH333" t="inlineStr">
        <is>
          <t>N/A</t>
        </is>
      </c>
      <c r="AI333" t="inlineStr">
        <is>
          <t>N/A</t>
        </is>
      </c>
      <c r="AJ333" t="inlineStr">
        <is>
          <t>N/A</t>
        </is>
      </c>
      <c r="AK333" t="inlineStr">
        <is>
          <t>Official rules: non-Group card types do not use normal Group control-arrow geometry.</t>
        </is>
      </c>
    </row>
    <row r="334" ht="34" customHeight="1" s="16">
      <c r="A334" s="20" t="inlineStr">
        <is>
          <t>Scandal</t>
        </is>
      </c>
      <c r="B334" s="20" t="inlineStr">
        <is>
          <t>Plot</t>
        </is>
      </c>
      <c r="C334" s="20" t="inlineStr">
        <is>
          <t>Plot</t>
        </is>
      </c>
      <c r="D334" s="20" t="inlineStr">
        <is>
          <t>Rare</t>
        </is>
      </c>
      <c r="E334" s="20" t="str"/>
      <c r="F334" s="20" t="str"/>
      <c r="G334" s="20" t="str"/>
      <c r="H334" s="20" t="str"/>
      <c r="I334" s="20" t="inlineStr">
        <is>
          <t>Playable at any time other than during an attack; needs the action of a Media group with Power 2 or more. Pick a rival and one alignment that the acting Media group has; remove all Action tokens from that rival's groups having that alignment.</t>
        </is>
      </c>
      <c r="J334" s="20" t="inlineStr">
        <is>
          <t>Needs rules-engine encoding</t>
        </is>
      </c>
      <c r="K334" s="20" t="inlineStr">
        <is>
          <t>High</t>
        </is>
      </c>
      <c r="L334" s="20" t="str"/>
      <c r="M334" s="20" t="inlineStr">
        <is>
          <t>https://github.com/Cha0smagick/Virtual-Illuminati-New-World-order-INWO-game</t>
        </is>
      </c>
      <c r="N334" t="inlineStr">
        <is>
          <t>Any time except during an attack</t>
        </is>
      </c>
      <c r="O334" t="inlineStr">
        <is>
          <t>One rival's groups of one chosen alignment</t>
        </is>
      </c>
      <c r="P334" t="inlineStr">
        <is>
          <t>One Media group of Power 2 or higher spends its action</t>
        </is>
      </c>
      <c r="Q334" t="inlineStr">
        <is>
          <t>Immediate</t>
        </is>
      </c>
      <c r="R334" t="inlineStr">
        <is>
          <t>Remove all Action tokens from the chosen rival's groups that have alignment X (X must be an alignment of the acting Media group)</t>
        </is>
      </c>
      <c r="S334" t="inlineStr">
        <is>
          <t>NO</t>
        </is>
      </c>
      <c r="T334" t="inlineStr">
        <is>
          <t>N/A</t>
        </is>
      </c>
      <c r="U334" t="inlineStr">
        <is>
          <t>N/A</t>
        </is>
      </c>
      <c r="V334" t="inlineStr">
        <is>
          <t>N/A — INWO uses Plots instead of group income/money</t>
        </is>
      </c>
      <c r="W334" t="inlineStr">
        <is>
          <t>N/A</t>
        </is>
      </c>
      <c r="X334" t="inlineStr">
        <is>
          <t>No card-specific limit (base duplicate rules apply)</t>
        </is>
      </c>
      <c r="Y334" t="inlineStr">
        <is>
          <t>Media group with Power &gt;= 2 and an available action; not during an attack; chosen alignment must be shared by that Media group</t>
        </is>
      </c>
      <c r="Z334" t="inlineStr">
        <is>
          <t>Standard response window</t>
        </is>
      </c>
      <c r="AA334" t="inlineStr">
        <is>
          <t>Specific card overrides general rules</t>
        </is>
      </c>
      <c r="AB334" t="inlineStr">
        <is>
          <t>Full card scan read; behaviour paraphrased (no card text copied)</t>
        </is>
      </c>
      <c r="AC334" t="inlineStr">
        <is>
          <t>FUNCTIONALLY COMPLETE</t>
        </is>
      </c>
      <c r="AD334" t="inlineStr">
        <is>
          <t>None</t>
        </is>
      </c>
      <c r="AE334" t="inlineStr">
        <is>
          <t>Card scan (GitHub: Cha0smagick/Virtual-Illuminati-New-World-order-INWO-game), read Sep 2026</t>
        </is>
      </c>
      <c r="AF334" t="inlineStr">
        <is>
          <t>N/A</t>
        </is>
      </c>
      <c r="AG334" t="inlineStr">
        <is>
          <t>N/A</t>
        </is>
      </c>
      <c r="AH334" t="inlineStr">
        <is>
          <t>N/A</t>
        </is>
      </c>
      <c r="AI334" t="inlineStr">
        <is>
          <t>N/A</t>
        </is>
      </c>
      <c r="AJ334" t="inlineStr">
        <is>
          <t>N/A</t>
        </is>
      </c>
      <c r="AK334" t="inlineStr">
        <is>
          <t>Official rules: non-Group card types do not use normal Group control-arrow geometry.</t>
        </is>
      </c>
    </row>
    <row r="335" ht="34" customHeight="1" s="16">
      <c r="A335" s="20" t="inlineStr">
        <is>
          <t>Secrets Man Was Not Meant To Know</t>
        </is>
      </c>
      <c r="B335" s="20" t="inlineStr">
        <is>
          <t>Plot</t>
        </is>
      </c>
      <c r="C335" s="20" t="inlineStr">
        <is>
          <t>Plot</t>
        </is>
      </c>
      <c r="D335" s="20" t="inlineStr">
        <is>
          <t>Uncommon</t>
        </is>
      </c>
      <c r="E335" s="20" t="str"/>
      <c r="F335" s="20" t="str"/>
      <c r="G335" s="20" t="str"/>
      <c r="H335" s="20" t="str"/>
      <c r="I335" s="20" t="inlineStr">
        <is>
          <t>Play right after another Plot card is played, for whatever purpose; cancel that Plot and discard both cards. To pay, either spend all Action tokens on your Illuminati (you need at least one) or discard the top two cards of your Plot deck without looking at them.</t>
        </is>
      </c>
      <c r="J335" s="20" t="inlineStr">
        <is>
          <t>Needs rules-engine encoding</t>
        </is>
      </c>
      <c r="K335" s="20" t="inlineStr">
        <is>
          <t>High</t>
        </is>
      </c>
      <c r="L335" s="20" t="str"/>
      <c r="M335" s="20" t="inlineStr">
        <is>
          <t>https://github.com/Cha0smagick/Virtual-Illuminati-New-World-order-INWO-game</t>
        </is>
      </c>
      <c r="N335" t="inlineStr">
        <is>
          <t>Immediately after another Plot card is played</t>
        </is>
      </c>
      <c r="O335" t="inlineStr">
        <is>
          <t>Any one Plot card just played</t>
        </is>
      </c>
      <c r="P335" t="inlineStr">
        <is>
          <t>Every Action token on your Illuminati (at least one), or the top two undrawn cards of your Plot deck discarded face down</t>
        </is>
      </c>
      <c r="Q335" t="inlineStr">
        <is>
          <t>Immediate</t>
        </is>
      </c>
      <c r="R335" t="inlineStr">
        <is>
          <t>Cancel target Plot (no effect); discard both cards</t>
        </is>
      </c>
      <c r="S335" t="inlineStr">
        <is>
          <t>NO</t>
        </is>
      </c>
      <c r="T335" t="inlineStr">
        <is>
          <t>N/A</t>
        </is>
      </c>
      <c r="U335" t="inlineStr">
        <is>
          <t>N/A</t>
        </is>
      </c>
      <c r="V335" t="inlineStr">
        <is>
          <t>N/A — INWO uses Plots instead of group income/money</t>
        </is>
      </c>
      <c r="W335" t="inlineStr">
        <is>
          <t>N/A</t>
        </is>
      </c>
      <c r="X335" t="inlineStr">
        <is>
          <t>No card-specific limit (base duplicate rules apply)</t>
        </is>
      </c>
      <c r="Y335" t="inlineStr">
        <is>
          <t>Another Plot card must have just been played; Illuminati must have at least 1 token or you must have Plot deck cards to discard</t>
        </is>
      </c>
      <c r="Z335" t="inlineStr">
        <is>
          <t>Played as a response to another Plot</t>
        </is>
      </c>
      <c r="AA335" t="inlineStr">
        <is>
          <t>Specific card overrides general rules</t>
        </is>
      </c>
      <c r="AB335" t="inlineStr">
        <is>
          <t>Full card scan read; behaviour paraphrased (no card text copied)</t>
        </is>
      </c>
      <c r="AC335" t="inlineStr">
        <is>
          <t>FUNCTIONALLY COMPLETE</t>
        </is>
      </c>
      <c r="AD335" t="inlineStr">
        <is>
          <t>None</t>
        </is>
      </c>
      <c r="AE335" t="inlineStr">
        <is>
          <t>Card scan (GitHub: Cha0smagick/Virtual-Illuminati-New-World-order-INWO-game), read Sep 2026</t>
        </is>
      </c>
      <c r="AF335" t="inlineStr">
        <is>
          <t>N/A</t>
        </is>
      </c>
      <c r="AG335" t="inlineStr">
        <is>
          <t>N/A</t>
        </is>
      </c>
      <c r="AH335" t="inlineStr">
        <is>
          <t>N/A</t>
        </is>
      </c>
      <c r="AI335" t="inlineStr">
        <is>
          <t>N/A</t>
        </is>
      </c>
      <c r="AJ335" t="inlineStr">
        <is>
          <t>N/A</t>
        </is>
      </c>
      <c r="AK335" t="inlineStr">
        <is>
          <t>Official rules: non-Group card types do not use normal Group control-arrow geometry.</t>
        </is>
      </c>
    </row>
    <row r="336" ht="34" customHeight="1" s="16">
      <c r="A336" s="20" t="inlineStr">
        <is>
          <t>Seize The Time</t>
        </is>
      </c>
      <c r="B336" s="20" t="inlineStr">
        <is>
          <t>Plot</t>
        </is>
      </c>
      <c r="C336" s="20" t="inlineStr">
        <is>
          <t>Plot</t>
        </is>
      </c>
      <c r="D336" s="20" t="inlineStr">
        <is>
          <t>Uncommon</t>
        </is>
      </c>
      <c r="E336" s="20" t="str"/>
      <c r="F336" s="20" t="str"/>
      <c r="G336" s="20" t="str"/>
      <c r="H336" s="20" t="str"/>
      <c r="I336" s="20" t="inlineStr">
        <is>
          <t>(errata applied) Play at the start of any other player's turn; you take a special turn in place of theirs, then play returns to the interrupted player unless someone won. During the special turn your groups receive Action tokens but your Illuminati does not get a new one, and you cannot draw cards (Plot or Group) or play Plots. Using it requires an Illuminati action, it cannot be played on the first turn, and each player may use it only once per game.</t>
        </is>
      </c>
      <c r="J336" s="20" t="inlineStr">
        <is>
          <t>Needs rules-engine encoding</t>
        </is>
      </c>
      <c r="K336" s="20" t="inlineStr">
        <is>
          <t>High</t>
        </is>
      </c>
      <c r="L336" s="20" t="inlineStr">
        <is>
          <t>Errata wording 'no draw/Plots' interpreted as: no drawing cards and no playing Plot cards during the extra turn. Printed card already bars drawing Plot or Group cards for any reason.</t>
        </is>
      </c>
      <c r="M336" s="20" t="inlineStr">
        <is>
          <t>https://github.com/Cha0smagick/Virtual-Illuminati-New-World-order-INWO-game</t>
        </is>
      </c>
      <c r="N336" t="inlineStr">
        <is>
          <t>At the beginning of another player's turn</t>
        </is>
      </c>
      <c r="O336" t="inlineStr">
        <is>
          <t>The game turn order (yourself)</t>
        </is>
      </c>
      <c r="P336" t="inlineStr">
        <is>
          <t>1 Illuminati action (errata)</t>
        </is>
      </c>
      <c r="Q336" t="inlineStr">
        <is>
          <t>One extra turn</t>
        </is>
      </c>
      <c r="R336" t="inlineStr">
        <is>
          <t>Take an extra turn before the interrupted player; your groups (not Illuminati) get Action tokens; no card draws and no Plots during it; afterwards turn returns to interrupted player</t>
        </is>
      </c>
      <c r="S336" t="inlineStr">
        <is>
          <t>NO</t>
        </is>
      </c>
      <c r="T336" t="inlineStr">
        <is>
          <t>N/A</t>
        </is>
      </c>
      <c r="U336" t="inlineStr">
        <is>
          <t>N/A</t>
        </is>
      </c>
      <c r="V336" t="inlineStr">
        <is>
          <t>N/A — INWO uses Plots instead of group income/money</t>
        </is>
      </c>
      <c r="W336" t="inlineStr">
        <is>
          <t>N/A</t>
        </is>
      </c>
      <c r="X336" t="inlineStr">
        <is>
          <t>No player may use Seize the Time more than once per game</t>
        </is>
      </c>
      <c r="Y336" t="inlineStr">
        <is>
          <t>Must be start of another player's turn; not the first turn of the game (errata); Illuminati action available (errata)</t>
        </is>
      </c>
      <c r="Z336" t="inlineStr">
        <is>
          <t>Standard response window</t>
        </is>
      </c>
      <c r="AA336" t="inlineStr">
        <is>
          <t>Specific card overrides general rules</t>
        </is>
      </c>
      <c r="AB336" t="inlineStr">
        <is>
          <t>Full card scan read; behaviour paraphrased (no card text copied)</t>
        </is>
      </c>
      <c r="AC336" t="inlineStr">
        <is>
          <t>FUNCTIONALLY COMPLETE</t>
        </is>
      </c>
      <c r="AD336" t="inlineStr">
        <is>
          <t>None</t>
        </is>
      </c>
      <c r="AE336" t="inlineStr">
        <is>
          <t>Card scan (GitHub: Cha0smagick/Virtual-Illuminati-New-World-order-INWO-game), read Sep 2026</t>
        </is>
      </c>
      <c r="AF336" t="inlineStr">
        <is>
          <t>N/A</t>
        </is>
      </c>
      <c r="AG336" t="inlineStr">
        <is>
          <t>N/A</t>
        </is>
      </c>
      <c r="AH336" t="inlineStr">
        <is>
          <t>N/A</t>
        </is>
      </c>
      <c r="AI336" t="inlineStr">
        <is>
          <t>N/A</t>
        </is>
      </c>
      <c r="AJ336" t="inlineStr">
        <is>
          <t>N/A</t>
        </is>
      </c>
      <c r="AK336" t="inlineStr">
        <is>
          <t>Official rules: non-Group card types do not use normal Group control-arrow geometry.</t>
        </is>
      </c>
    </row>
    <row r="337" ht="34" customHeight="1" s="16">
      <c r="A337" s="20" t="inlineStr">
        <is>
          <t>Self Esteem</t>
        </is>
      </c>
      <c r="B337" s="20" t="inlineStr">
        <is>
          <t>Plot</t>
        </is>
      </c>
      <c r="C337" s="20" t="inlineStr">
        <is>
          <t>Plot</t>
        </is>
      </c>
      <c r="D337" s="20" t="inlineStr">
        <is>
          <t>Common</t>
        </is>
      </c>
      <c r="E337" s="20" t="str"/>
      <c r="F337" s="20" t="str"/>
      <c r="G337" s="20" t="str"/>
      <c r="H337" s="20" t="str"/>
      <c r="I337" s="20" t="inlineStr">
        <is>
          <t>Link to one Liberal group; that group's Power becomes 6, effective immediately. Playable any time and counts as the affected group's action.</t>
        </is>
      </c>
      <c r="J337" s="20" t="inlineStr">
        <is>
          <t>Needs rules-engine encoding</t>
        </is>
      </c>
      <c r="K337" s="20" t="inlineStr">
        <is>
          <t>High</t>
        </is>
      </c>
      <c r="L337" s="20" t="inlineStr">
        <is>
          <t>Card says 'your chosen Liberal group'; presumably one you control since it uses that group's action.</t>
        </is>
      </c>
      <c r="M337" s="20" t="inlineStr">
        <is>
          <t>https://github.com/Cha0smagick/Virtual-Illuminati-New-World-order-INWO-game</t>
        </is>
      </c>
      <c r="N337" t="inlineStr">
        <is>
          <t>Play at any time</t>
        </is>
      </c>
      <c r="O337" t="inlineStr">
        <is>
          <t>One Liberal group (your chosen group)</t>
        </is>
      </c>
      <c r="P337" t="inlineStr">
        <is>
          <t>Action of the affected Liberal group</t>
        </is>
      </c>
      <c r="Q337" t="inlineStr">
        <is>
          <t>Permanent while linked</t>
        </is>
      </c>
      <c r="R337" t="inlineStr">
        <is>
          <t>Set target Liberal group's Power to 6; card linked to it</t>
        </is>
      </c>
      <c r="S337" t="inlineStr">
        <is>
          <t>NO</t>
        </is>
      </c>
      <c r="T337" t="inlineStr">
        <is>
          <t>N/A</t>
        </is>
      </c>
      <c r="U337" t="inlineStr">
        <is>
          <t>N/A</t>
        </is>
      </c>
      <c r="V337" t="inlineStr">
        <is>
          <t>N/A — INWO uses Plots instead of group income/money</t>
        </is>
      </c>
      <c r="W337" t="inlineStr">
        <is>
          <t>N/A</t>
        </is>
      </c>
      <c r="X337" t="inlineStr">
        <is>
          <t>Limit per player: a single copy on the table</t>
        </is>
      </c>
      <c r="Y337" t="inlineStr">
        <is>
          <t>Target must be a Liberal group with an available action</t>
        </is>
      </c>
      <c r="Z337" t="inlineStr">
        <is>
          <t>Standard response window</t>
        </is>
      </c>
      <c r="AA337" t="inlineStr">
        <is>
          <t>Specific card overrides general rules</t>
        </is>
      </c>
      <c r="AB337" t="inlineStr">
        <is>
          <t>Full card scan read; behaviour paraphrased (no card text copied)</t>
        </is>
      </c>
      <c r="AC337" t="inlineStr">
        <is>
          <t>FUNCTIONALLY COMPLETE</t>
        </is>
      </c>
      <c r="AD337" t="inlineStr">
        <is>
          <t>None</t>
        </is>
      </c>
      <c r="AE337" t="inlineStr">
        <is>
          <t>Card scan (GitHub: Cha0smagick/Virtual-Illuminati-New-World-order-INWO-game), read Sep 2026</t>
        </is>
      </c>
      <c r="AF337" t="inlineStr">
        <is>
          <t>N/A</t>
        </is>
      </c>
      <c r="AG337" t="inlineStr">
        <is>
          <t>N/A</t>
        </is>
      </c>
      <c r="AH337" t="inlineStr">
        <is>
          <t>N/A</t>
        </is>
      </c>
      <c r="AI337" t="inlineStr">
        <is>
          <t>N/A</t>
        </is>
      </c>
      <c r="AJ337" t="inlineStr">
        <is>
          <t>N/A</t>
        </is>
      </c>
      <c r="AK337" t="inlineStr">
        <is>
          <t>Official rules: non-Group card types do not use normal Group control-arrow geometry.</t>
        </is>
      </c>
    </row>
    <row r="338" ht="34" customHeight="1" s="16">
      <c r="A338" s="20" t="inlineStr">
        <is>
          <t>Senate Investigating Committee</t>
        </is>
      </c>
      <c r="B338" s="20" t="inlineStr">
        <is>
          <t>Plot</t>
        </is>
      </c>
      <c r="C338" s="20" t="inlineStr">
        <is>
          <t>Plot</t>
        </is>
      </c>
      <c r="D338" s="20" t="inlineStr">
        <is>
          <t>Rare</t>
        </is>
      </c>
      <c r="E338" s="20" t="str"/>
      <c r="F338" s="20" t="str"/>
      <c r="G338" s="20" t="str"/>
      <c r="H338" s="20" t="str"/>
      <c r="I338" s="20" t="inlineStr">
        <is>
          <t>Play as another player's turn begins; during that turn he can only draw cards and put down Action tokens. Costs the action of a Government group of Power 5+. Does not affect the Discordians. A player can be targeted by this card only once in a game; a second try against him fails and the card is discarded.</t>
        </is>
      </c>
      <c r="J338" s="20" t="inlineStr">
        <is>
          <t>Needs rules-engine encoding</t>
        </is>
      </c>
      <c r="K338" s="20" t="inlineStr">
        <is>
          <t>High</t>
        </is>
      </c>
      <c r="L338" s="20" t="str"/>
      <c r="M338" s="20" t="inlineStr">
        <is>
          <t>https://github.com/Cha0smagick/Virtual-Illuminati-New-World-order-INWO-game</t>
        </is>
      </c>
      <c r="N338" t="inlineStr">
        <is>
          <t>At the beginning of another player's turn</t>
        </is>
      </c>
      <c r="O338" t="inlineStr">
        <is>
          <t>One rival player (not Discordians)</t>
        </is>
      </c>
      <c r="P338" t="inlineStr">
        <is>
          <t>One Government group of Power 5 or more spends its action</t>
        </is>
      </c>
      <c r="Q338" t="inlineStr">
        <is>
          <t>That rival's turn</t>
        </is>
      </c>
      <c r="R338" t="inlineStr">
        <is>
          <t>Target rival's turn limited to drawing cards and placing Action tokens only</t>
        </is>
      </c>
      <c r="S338" t="inlineStr">
        <is>
          <t>NO</t>
        </is>
      </c>
      <c r="T338" t="inlineStr">
        <is>
          <t>N/A</t>
        </is>
      </c>
      <c r="U338" t="inlineStr">
        <is>
          <t>N/A</t>
        </is>
      </c>
      <c r="V338" t="inlineStr">
        <is>
          <t>N/A — INWO uses Plots instead of group income/money</t>
        </is>
      </c>
      <c r="W338" t="inlineStr">
        <is>
          <t>N/A</t>
        </is>
      </c>
      <c r="X338" t="inlineStr">
        <is>
          <t>A given player can suffer this card just once per game; further copies against that player fizzle and are discarded</t>
        </is>
      </c>
      <c r="Y338" t="inlineStr">
        <is>
          <t>Government group with Power &gt;= 5 and available action; target cannot be the Discordians</t>
        </is>
      </c>
      <c r="Z338" t="inlineStr">
        <is>
          <t>Standard response window</t>
        </is>
      </c>
      <c r="AA338" t="inlineStr">
        <is>
          <t>Specific card overrides general rules</t>
        </is>
      </c>
      <c r="AB338" t="inlineStr">
        <is>
          <t>Full card scan read; behaviour paraphrased (no card text copied)</t>
        </is>
      </c>
      <c r="AC338" t="inlineStr">
        <is>
          <t>FUNCTIONALLY COMPLETE</t>
        </is>
      </c>
      <c r="AD338" t="inlineStr">
        <is>
          <t>None</t>
        </is>
      </c>
      <c r="AE338" t="inlineStr">
        <is>
          <t>Card scan (GitHub: Cha0smagick/Virtual-Illuminati-New-World-order-INWO-game), read Sep 2026</t>
        </is>
      </c>
      <c r="AF338" t="inlineStr">
        <is>
          <t>N/A</t>
        </is>
      </c>
      <c r="AG338" t="inlineStr">
        <is>
          <t>N/A</t>
        </is>
      </c>
      <c r="AH338" t="inlineStr">
        <is>
          <t>N/A</t>
        </is>
      </c>
      <c r="AI338" t="inlineStr">
        <is>
          <t>N/A</t>
        </is>
      </c>
      <c r="AJ338" t="inlineStr">
        <is>
          <t>N/A</t>
        </is>
      </c>
      <c r="AK338" t="inlineStr">
        <is>
          <t>Official rules: non-Group card types do not use normal Group control-arrow geometry.</t>
        </is>
      </c>
    </row>
    <row r="339" ht="34" customHeight="1" s="16">
      <c r="A339" s="20" t="inlineStr">
        <is>
          <t>Slush Fund</t>
        </is>
      </c>
      <c r="B339" s="20" t="inlineStr">
        <is>
          <t>Plot</t>
        </is>
      </c>
      <c r="C339" s="20" t="inlineStr">
        <is>
          <t>Plot</t>
        </is>
      </c>
      <c r="D339" s="20" t="inlineStr">
        <is>
          <t>Common</t>
        </is>
      </c>
      <c r="E339" s="20" t="str"/>
      <c r="F339" s="20" t="str"/>
      <c r="G339" s="20" t="str"/>
      <c r="H339" s="20" t="str"/>
      <c r="I339" s="20" t="inlineStr">
        <is>
          <t>Give one Conservative group you control +10, applied either to its Power or to its Resistance (player picks). When boosting an action, it must be played at the moment the action is declared and applies only to that single action. When used defensively, the Resistance bonus lasts until end of the current turn and is not counted for Goals.</t>
        </is>
      </c>
      <c r="J339" s="20" t="inlineStr">
        <is>
          <t>Needs rules-engine encoding</t>
        </is>
      </c>
      <c r="K339" s="20" t="inlineStr">
        <is>
          <t>High</t>
        </is>
      </c>
      <c r="L339" s="20" t="str"/>
      <c r="M339" s="20" t="inlineStr">
        <is>
          <t>https://github.com/Cha0smagick/Virtual-Illuminati-New-World-order-INWO-game</t>
        </is>
      </c>
      <c r="N339" t="inlineStr">
        <is>
          <t>Play at any time (with an action: only when that action is first declared)</t>
        </is>
      </c>
      <c r="O339" t="inlineStr">
        <is>
          <t>One Conservative group you control</t>
        </is>
      </c>
      <c r="P339" t="inlineStr">
        <is>
          <t>None</t>
        </is>
      </c>
      <c r="Q339" t="inlineStr">
        <is>
          <t>Single action (offense) or until end of current turn (defense)</t>
        </is>
      </c>
      <c r="R339" t="inlineStr">
        <is>
          <t>+10 Power or +10 Resistance (choice) to one controlled group; defensive bonus ignored for Goals</t>
        </is>
      </c>
      <c r="S339" t="inlineStr">
        <is>
          <t>NO</t>
        </is>
      </c>
      <c r="T339" t="inlineStr">
        <is>
          <t>N/A</t>
        </is>
      </c>
      <c r="U339" t="inlineStr">
        <is>
          <t>N/A</t>
        </is>
      </c>
      <c r="V339" t="inlineStr">
        <is>
          <t>N/A — INWO uses Plots instead of group income/money</t>
        </is>
      </c>
      <c r="W339" t="inlineStr">
        <is>
          <t>N/A</t>
        </is>
      </c>
      <c r="X339" t="inlineStr">
        <is>
          <t>No card-specific limit (base duplicate rules apply)</t>
        </is>
      </c>
      <c r="Y339" t="inlineStr">
        <is>
          <t>Target must be a Conservative group you control; if boosting an action, must be played when the action is declared</t>
        </is>
      </c>
      <c r="Z339" t="inlineStr">
        <is>
          <t>Standard response window</t>
        </is>
      </c>
      <c r="AA339" t="inlineStr">
        <is>
          <t>Specific card overrides general rules</t>
        </is>
      </c>
      <c r="AB339" t="inlineStr">
        <is>
          <t>Full card scan read; behaviour paraphrased (no card text copied)</t>
        </is>
      </c>
      <c r="AC339" t="inlineStr">
        <is>
          <t>FUNCTIONALLY COMPLETE</t>
        </is>
      </c>
      <c r="AD339" t="inlineStr">
        <is>
          <t>None</t>
        </is>
      </c>
      <c r="AE339" t="inlineStr">
        <is>
          <t>Card scan (GitHub: Cha0smagick/Virtual-Illuminati-New-World-order-INWO-game), read Sep 2026</t>
        </is>
      </c>
      <c r="AF339" t="inlineStr">
        <is>
          <t>N/A</t>
        </is>
      </c>
      <c r="AG339" t="inlineStr">
        <is>
          <t>N/A</t>
        </is>
      </c>
      <c r="AH339" t="inlineStr">
        <is>
          <t>N/A</t>
        </is>
      </c>
      <c r="AI339" t="inlineStr">
        <is>
          <t>N/A</t>
        </is>
      </c>
      <c r="AJ339" t="inlineStr">
        <is>
          <t>N/A</t>
        </is>
      </c>
      <c r="AK339" t="inlineStr">
        <is>
          <t>Official rules: non-Group card types do not use normal Group control-arrow geometry.</t>
        </is>
      </c>
    </row>
    <row r="340" ht="34" customHeight="1" s="16">
      <c r="A340" s="20" t="inlineStr">
        <is>
          <t>Sniper</t>
        </is>
      </c>
      <c r="B340" s="20" t="inlineStr">
        <is>
          <t>Plot</t>
        </is>
      </c>
      <c r="C340" s="20" t="inlineStr">
        <is>
          <t>Assassination</t>
        </is>
      </c>
      <c r="D340" s="20" t="inlineStr">
        <is>
          <t>Uncommon</t>
        </is>
      </c>
      <c r="E340" s="20" t="inlineStr">
        <is>
          <t>10</t>
        </is>
      </c>
      <c r="F340" s="20" t="str"/>
      <c r="G340" s="20" t="str"/>
      <c r="H340" s="20" t="str"/>
      <c r="I340" s="20" t="inlineStr">
        <is>
          <t>Assassination: an Instant Attack to Destroy any Personality, usable at any time and needing no action. Power 10. One Government group may optionally spend its action to join the attack and add its own Power.</t>
        </is>
      </c>
      <c r="J340" s="20" t="inlineStr">
        <is>
          <t>Needs rules-engine encoding</t>
        </is>
      </c>
      <c r="K340" s="20" t="inlineStr">
        <is>
          <t>High</t>
        </is>
      </c>
      <c r="L340" s="20" t="str"/>
      <c r="M340" s="20" t="inlineStr">
        <is>
          <t>https://github.com/Cha0smagick/Virtual-Illuminati-New-World-order-INWO-game</t>
        </is>
      </c>
      <c r="N340" t="inlineStr">
        <is>
          <t>Play at any time (Instant Attack)</t>
        </is>
      </c>
      <c r="O340" t="inlineStr">
        <is>
          <t>Any Personality</t>
        </is>
      </c>
      <c r="P340" t="inlineStr">
        <is>
          <t>None (optional: action of one Government group)</t>
        </is>
      </c>
      <c r="Q340" t="inlineStr">
        <is>
          <t>Immediate</t>
        </is>
      </c>
      <c r="R340" t="inlineStr">
        <is>
          <t>Attack to Destroy with Power 10; + Power of one optional assisting Government group</t>
        </is>
      </c>
      <c r="S340" t="inlineStr">
        <is>
          <t>NO</t>
        </is>
      </c>
      <c r="T340" t="inlineStr">
        <is>
          <t>N/A</t>
        </is>
      </c>
      <c r="U340" t="inlineStr">
        <is>
          <t>N/A</t>
        </is>
      </c>
      <c r="V340" t="inlineStr">
        <is>
          <t>N/A — INWO uses Plots instead of group income/money</t>
        </is>
      </c>
      <c r="W340" t="inlineStr">
        <is>
          <t>N/A</t>
        </is>
      </c>
      <c r="X340" t="inlineStr">
        <is>
          <t>No card-specific limit (base duplicate rules apply)</t>
        </is>
      </c>
      <c r="Y340" t="inlineStr">
        <is>
          <t>Target must be a Personality</t>
        </is>
      </c>
      <c r="Z340" t="inlineStr">
        <is>
          <t>Standard response window</t>
        </is>
      </c>
      <c r="AA340" t="inlineStr">
        <is>
          <t>Specific card overrides general rules</t>
        </is>
      </c>
      <c r="AB340" t="inlineStr">
        <is>
          <t>Full card scan read; behaviour paraphrased (no card text copied)</t>
        </is>
      </c>
      <c r="AC340" t="inlineStr">
        <is>
          <t>FUNCTIONALLY COMPLETE</t>
        </is>
      </c>
      <c r="AD340" t="inlineStr">
        <is>
          <t>None</t>
        </is>
      </c>
      <c r="AE340" t="inlineStr">
        <is>
          <t>Card scan (GitHub: Cha0smagick/Virtual-Illuminati-New-World-order-INWO-game), read Sep 2026</t>
        </is>
      </c>
      <c r="AF340" t="inlineStr">
        <is>
          <t>N/A</t>
        </is>
      </c>
      <c r="AG340" t="inlineStr">
        <is>
          <t>N/A</t>
        </is>
      </c>
      <c r="AH340" t="inlineStr">
        <is>
          <t>N/A</t>
        </is>
      </c>
      <c r="AI340" t="inlineStr">
        <is>
          <t>N/A</t>
        </is>
      </c>
      <c r="AJ340" t="inlineStr">
        <is>
          <t>N/A</t>
        </is>
      </c>
      <c r="AK340" t="inlineStr">
        <is>
          <t>Official rules: non-Group card types do not use normal Group control-arrow geometry.</t>
        </is>
      </c>
    </row>
    <row r="341" ht="34" customHeight="1" s="16">
      <c r="A341" s="20" t="inlineStr">
        <is>
          <t>Spasm of Violence</t>
        </is>
      </c>
      <c r="B341" s="20" t="inlineStr">
        <is>
          <t>Plot</t>
        </is>
      </c>
      <c r="C341" s="20" t="inlineStr">
        <is>
          <t>Plot</t>
        </is>
      </c>
      <c r="D341" s="20" t="inlineStr">
        <is>
          <t>Rare</t>
        </is>
      </c>
      <c r="E341" s="20" t="str"/>
      <c r="F341" s="20" t="str"/>
      <c r="G341" s="20" t="str"/>
      <c r="H341" s="20" t="str"/>
      <c r="I341" s="20" t="inlineStr">
        <is>
          <t>Lets you combine two Assassination cards against the same target; both must also be played. Choose one as the main Assassination and follow its full text, then add only the Power (none of the other effects) of the second.</t>
        </is>
      </c>
      <c r="J341" s="20" t="inlineStr">
        <is>
          <t>Needs rules-engine encoding</t>
        </is>
      </c>
      <c r="K341" s="20" t="inlineStr">
        <is>
          <t>High</t>
        </is>
      </c>
      <c r="L341" s="20" t="str"/>
      <c r="M341" s="20" t="inlineStr">
        <is>
          <t>https://github.com/Cha0smagick/Virtual-Illuminati-New-World-order-INWO-game</t>
        </is>
      </c>
      <c r="N341" t="inlineStr">
        <is>
          <t>When making an Assassination</t>
        </is>
      </c>
      <c r="O341" t="inlineStr">
        <is>
          <t>One target of the combined Assassinations</t>
        </is>
      </c>
      <c r="P341" t="inlineStr">
        <is>
          <t>Play two Assassination cards along with this card</t>
        </is>
      </c>
      <c r="Q341" t="inlineStr">
        <is>
          <t>Single attack</t>
        </is>
      </c>
      <c r="R341" t="inlineStr">
        <is>
          <t>Main Assassination resolves normally; attack Power += Power of second Assassination (its other effects ignored)</t>
        </is>
      </c>
      <c r="S341" t="inlineStr">
        <is>
          <t>NO</t>
        </is>
      </c>
      <c r="T341" t="inlineStr">
        <is>
          <t>N/A</t>
        </is>
      </c>
      <c r="U341" t="inlineStr">
        <is>
          <t>N/A</t>
        </is>
      </c>
      <c r="V341" t="inlineStr">
        <is>
          <t>N/A — INWO uses Plots instead of group income/money</t>
        </is>
      </c>
      <c r="W341" t="inlineStr">
        <is>
          <t>N/A</t>
        </is>
      </c>
      <c r="X341" t="inlineStr">
        <is>
          <t>No card-specific limit (base duplicate rules apply)</t>
        </is>
      </c>
      <c r="Y341" t="inlineStr">
        <is>
          <t>Must have two Assassination cards to play on the same target</t>
        </is>
      </c>
      <c r="Z341" t="inlineStr">
        <is>
          <t>Standard response window</t>
        </is>
      </c>
      <c r="AA341" t="inlineStr">
        <is>
          <t>Specific card overrides general rules</t>
        </is>
      </c>
      <c r="AB341" t="inlineStr">
        <is>
          <t>Full card scan read; behaviour paraphrased (no card text copied)</t>
        </is>
      </c>
      <c r="AC341" t="inlineStr">
        <is>
          <t>FUNCTIONALLY COMPLETE</t>
        </is>
      </c>
      <c r="AD341" t="inlineStr">
        <is>
          <t>None</t>
        </is>
      </c>
      <c r="AE341" t="inlineStr">
        <is>
          <t>Card scan (GitHub: Cha0smagick/Virtual-Illuminati-New-World-order-INWO-game), read Sep 2026</t>
        </is>
      </c>
      <c r="AF341" t="inlineStr">
        <is>
          <t>N/A</t>
        </is>
      </c>
      <c r="AG341" t="inlineStr">
        <is>
          <t>N/A</t>
        </is>
      </c>
      <c r="AH341" t="inlineStr">
        <is>
          <t>N/A</t>
        </is>
      </c>
      <c r="AI341" t="inlineStr">
        <is>
          <t>N/A</t>
        </is>
      </c>
      <c r="AJ341" t="inlineStr">
        <is>
          <t>N/A</t>
        </is>
      </c>
      <c r="AK341" t="inlineStr">
        <is>
          <t>Official rules: non-Group card types do not use normal Group control-arrow geometry.</t>
        </is>
      </c>
    </row>
    <row r="342" ht="34" customHeight="1" s="16">
      <c r="A342" s="20" t="inlineStr">
        <is>
          <t>Stealing the Plans</t>
        </is>
      </c>
      <c r="B342" s="20" t="inlineStr">
        <is>
          <t>Plot</t>
        </is>
      </c>
      <c r="C342" s="20" t="inlineStr">
        <is>
          <t>Plot</t>
        </is>
      </c>
      <c r="D342" s="20" t="inlineStr">
        <is>
          <t>Common</t>
        </is>
      </c>
      <c r="E342" s="20" t="str"/>
      <c r="F342" s="20" t="str"/>
      <c r="G342" s="20" t="str"/>
      <c r="H342" s="20" t="str"/>
      <c r="I342" s="20" t="inlineStr">
        <is>
          <t>Play right after another player discards a Plot card, used or unused. Take that Plot into your hand. Costs the action of a group of Power 3 or higher.</t>
        </is>
      </c>
      <c r="J342" s="20" t="inlineStr">
        <is>
          <t>Needs rules-engine encoding</t>
        </is>
      </c>
      <c r="K342" s="20" t="inlineStr">
        <is>
          <t>High</t>
        </is>
      </c>
      <c r="L342" s="20" t="str"/>
      <c r="M342" s="20" t="inlineStr">
        <is>
          <t>https://github.com/Cha0smagick/Virtual-Illuminati-New-World-order-INWO-game</t>
        </is>
      </c>
      <c r="N342" t="inlineStr">
        <is>
          <t>Immediately after another player discards a Plot</t>
        </is>
      </c>
      <c r="O342" t="inlineStr">
        <is>
          <t>The Plot card just discarded</t>
        </is>
      </c>
      <c r="P342" t="inlineStr">
        <is>
          <t>Action of a group with Power 3+</t>
        </is>
      </c>
      <c r="Q342" t="inlineStr">
        <is>
          <t>Immediate</t>
        </is>
      </c>
      <c r="R342" t="inlineStr">
        <is>
          <t>Move just-discarded Plot card to your hand</t>
        </is>
      </c>
      <c r="S342" t="inlineStr">
        <is>
          <t>NO</t>
        </is>
      </c>
      <c r="T342" t="inlineStr">
        <is>
          <t>N/A</t>
        </is>
      </c>
      <c r="U342" t="inlineStr">
        <is>
          <t>N/A</t>
        </is>
      </c>
      <c r="V342" t="inlineStr">
        <is>
          <t>N/A — INWO uses Plots instead of group income/money</t>
        </is>
      </c>
      <c r="W342" t="inlineStr">
        <is>
          <t>N/A</t>
        </is>
      </c>
      <c r="X342" t="inlineStr">
        <is>
          <t>No card-specific limit (base duplicate rules apply)</t>
        </is>
      </c>
      <c r="Y342" t="inlineStr">
        <is>
          <t>Another player must have just discarded a Plot; group with Power &gt;= 3 and available action</t>
        </is>
      </c>
      <c r="Z342" t="inlineStr">
        <is>
          <t>Standard response window</t>
        </is>
      </c>
      <c r="AA342" t="inlineStr">
        <is>
          <t>Specific card overrides general rules</t>
        </is>
      </c>
      <c r="AB342" t="inlineStr">
        <is>
          <t>Full card scan read; behaviour paraphrased (no card text copied)</t>
        </is>
      </c>
      <c r="AC342" t="inlineStr">
        <is>
          <t>FUNCTIONALLY COMPLETE</t>
        </is>
      </c>
      <c r="AD342" t="inlineStr">
        <is>
          <t>None</t>
        </is>
      </c>
      <c r="AE342" t="inlineStr">
        <is>
          <t>Card scan (GitHub: Cha0smagick/Virtual-Illuminati-New-World-order-INWO-game), read Sep 2026</t>
        </is>
      </c>
      <c r="AF342" t="inlineStr">
        <is>
          <t>N/A</t>
        </is>
      </c>
      <c r="AG342" t="inlineStr">
        <is>
          <t>N/A</t>
        </is>
      </c>
      <c r="AH342" t="inlineStr">
        <is>
          <t>N/A</t>
        </is>
      </c>
      <c r="AI342" t="inlineStr">
        <is>
          <t>N/A</t>
        </is>
      </c>
      <c r="AJ342" t="inlineStr">
        <is>
          <t>N/A</t>
        </is>
      </c>
      <c r="AK342" t="inlineStr">
        <is>
          <t>Official rules: non-Group card types do not use normal Group control-arrow geometry.</t>
        </is>
      </c>
    </row>
    <row r="343" ht="34" customHeight="1" s="16">
      <c r="A343" s="20" t="inlineStr">
        <is>
          <t>Stock Split</t>
        </is>
      </c>
      <c r="B343" s="20" t="inlineStr">
        <is>
          <t>Plot</t>
        </is>
      </c>
      <c r="C343" s="20" t="inlineStr">
        <is>
          <t>Plot</t>
        </is>
      </c>
      <c r="D343" s="20" t="inlineStr">
        <is>
          <t>Common</t>
        </is>
      </c>
      <c r="E343" s="20" t="str"/>
      <c r="F343" s="20" t="str"/>
      <c r="G343" s="20" t="str"/>
      <c r="H343" s="20" t="str"/>
      <c r="I343" s="20" t="inlineStr">
        <is>
          <t>Give one Corporate group you control +10, applied either to its Power or to its Resistance (player picks). When boosting an action, it must be played at the moment the action is declared and applies only to that single action. When used defensively, the Resistance bonus lasts until end of the current turn and is not counted for Goals.</t>
        </is>
      </c>
      <c r="J343" s="20" t="inlineStr">
        <is>
          <t>Needs rules-engine encoding</t>
        </is>
      </c>
      <c r="K343" s="20" t="inlineStr">
        <is>
          <t>High</t>
        </is>
      </c>
      <c r="L343" s="20" t="str"/>
      <c r="M343" s="20" t="inlineStr">
        <is>
          <t>https://github.com/Cha0smagick/Virtual-Illuminati-New-World-order-INWO-game</t>
        </is>
      </c>
      <c r="N343" t="inlineStr">
        <is>
          <t>Play at any time (with an action: only when that action is first declared)</t>
        </is>
      </c>
      <c r="O343" t="inlineStr">
        <is>
          <t>One Corporate group you control</t>
        </is>
      </c>
      <c r="P343" t="inlineStr">
        <is>
          <t>None</t>
        </is>
      </c>
      <c r="Q343" t="inlineStr">
        <is>
          <t>Single action (offense) or until end of current turn (defense)</t>
        </is>
      </c>
      <c r="R343" t="inlineStr">
        <is>
          <t>+10 Power or +10 Resistance (choice) to one controlled group; defensive bonus ignored for Goals</t>
        </is>
      </c>
      <c r="S343" t="inlineStr">
        <is>
          <t>NO</t>
        </is>
      </c>
      <c r="T343" t="inlineStr">
        <is>
          <t>N/A</t>
        </is>
      </c>
      <c r="U343" t="inlineStr">
        <is>
          <t>N/A</t>
        </is>
      </c>
      <c r="V343" t="inlineStr">
        <is>
          <t>N/A — INWO uses Plots instead of group income/money</t>
        </is>
      </c>
      <c r="W343" t="inlineStr">
        <is>
          <t>N/A</t>
        </is>
      </c>
      <c r="X343" t="inlineStr">
        <is>
          <t>No card-specific limit (base duplicate rules apply)</t>
        </is>
      </c>
      <c r="Y343" t="inlineStr">
        <is>
          <t>Target must be a Corporate group you control; if boosting an action, must be played when the action is declared</t>
        </is>
      </c>
      <c r="Z343" t="inlineStr">
        <is>
          <t>Standard response window</t>
        </is>
      </c>
      <c r="AA343" t="inlineStr">
        <is>
          <t>Specific card overrides general rules</t>
        </is>
      </c>
      <c r="AB343" t="inlineStr">
        <is>
          <t>Full card scan read; behaviour paraphrased (no card text copied)</t>
        </is>
      </c>
      <c r="AC343" t="inlineStr">
        <is>
          <t>FUNCTIONALLY COMPLETE</t>
        </is>
      </c>
      <c r="AD343" t="inlineStr">
        <is>
          <t>None</t>
        </is>
      </c>
      <c r="AE343" t="inlineStr">
        <is>
          <t>Card scan (GitHub: Cha0smagick/Virtual-Illuminati-New-World-order-INWO-game), read Sep 2026</t>
        </is>
      </c>
      <c r="AF343" t="inlineStr">
        <is>
          <t>N/A</t>
        </is>
      </c>
      <c r="AG343" t="inlineStr">
        <is>
          <t>N/A</t>
        </is>
      </c>
      <c r="AH343" t="inlineStr">
        <is>
          <t>N/A</t>
        </is>
      </c>
      <c r="AI343" t="inlineStr">
        <is>
          <t>N/A</t>
        </is>
      </c>
      <c r="AJ343" t="inlineStr">
        <is>
          <t>N/A</t>
        </is>
      </c>
      <c r="AK343" t="inlineStr">
        <is>
          <t>Official rules: non-Group card types do not use normal Group control-arrow geometry.</t>
        </is>
      </c>
    </row>
    <row r="344" ht="34" customHeight="1" s="16">
      <c r="A344" s="20" t="inlineStr">
        <is>
          <t>Straighten Up</t>
        </is>
      </c>
      <c r="B344" s="20" t="inlineStr">
        <is>
          <t>Plot</t>
        </is>
      </c>
      <c r="C344" s="20" t="inlineStr">
        <is>
          <t>Plot</t>
        </is>
      </c>
      <c r="D344" s="20" t="inlineStr">
        <is>
          <t>Common</t>
        </is>
      </c>
      <c r="E344" s="20" t="str"/>
      <c r="F344" s="20" t="str"/>
      <c r="G344" s="20" t="str"/>
      <c r="H344" s="20" t="str"/>
      <c r="I344" s="20" t="inlineStr">
        <is>
          <t>Target group permanently becomes Straight; if it was Weird it loses Weird. Keep this card linked to the target. Requires an Illuminati action, or actions of Straight groups whose total Power equals the target's Resistance (doubled if the target is currently Weird, plus the usual proximity bonus if it is in a rival's Power Structure). Playable any time.</t>
        </is>
      </c>
      <c r="J344" s="20" t="inlineStr">
        <is>
          <t>Needs rules-engine encoding</t>
        </is>
      </c>
      <c r="K344" s="20" t="inlineStr">
        <is>
          <t>High</t>
        </is>
      </c>
      <c r="L344" s="20" t="inlineStr">
        <is>
          <t>Card says Power 'equal to' the Resistance; treat as at least equal.</t>
        </is>
      </c>
      <c r="M344" s="20" t="inlineStr">
        <is>
          <t>https://github.com/Cha0smagick/Virtual-Illuminati-New-World-order-INWO-game</t>
        </is>
      </c>
      <c r="N344" t="inlineStr">
        <is>
          <t>Play at any time</t>
        </is>
      </c>
      <c r="O344" t="inlineStr">
        <is>
          <t>Any one group</t>
        </is>
      </c>
      <c r="P344" t="inlineStr">
        <is>
          <t>1 Illuminati action OR actions of Straight groups with total Power &gt;= target Resistance (x2 if target Weird; + proximity-to-Illuminati bonus if rival-owned)</t>
        </is>
      </c>
      <c r="Q344" t="inlineStr">
        <is>
          <t>Permanent (card stays linked)</t>
        </is>
      </c>
      <c r="R344" t="inlineStr">
        <is>
          <t>Target gains Straight permanently; removes Weird if present</t>
        </is>
      </c>
      <c r="S344" t="inlineStr">
        <is>
          <t>NO</t>
        </is>
      </c>
      <c r="T344" t="inlineStr">
        <is>
          <t>N/A</t>
        </is>
      </c>
      <c r="U344" t="inlineStr">
        <is>
          <t>N/A</t>
        </is>
      </c>
      <c r="V344" t="inlineStr">
        <is>
          <t>N/A — INWO uses Plots instead of group income/money</t>
        </is>
      </c>
      <c r="W344" t="inlineStr">
        <is>
          <t>N/A</t>
        </is>
      </c>
      <c r="X344" t="inlineStr">
        <is>
          <t>No card-specific limit (base duplicate rules apply)</t>
        </is>
      </c>
      <c r="Y344" t="inlineStr">
        <is>
          <t>If using Straight groups, their combined Power must meet the computed threshold</t>
        </is>
      </c>
      <c r="Z344" t="inlineStr">
        <is>
          <t>Standard response window</t>
        </is>
      </c>
      <c r="AA344" t="inlineStr">
        <is>
          <t>Specific card overrides general rules</t>
        </is>
      </c>
      <c r="AB344" t="inlineStr">
        <is>
          <t>Full card scan read; behaviour paraphrased (no card text copied)</t>
        </is>
      </c>
      <c r="AC344" t="inlineStr">
        <is>
          <t>FUNCTIONALLY COMPLETE</t>
        </is>
      </c>
      <c r="AD344" t="inlineStr">
        <is>
          <t>None</t>
        </is>
      </c>
      <c r="AE344" t="inlineStr">
        <is>
          <t>Card scan (GitHub: Cha0smagick/Virtual-Illuminati-New-World-order-INWO-game), read Sep 2026</t>
        </is>
      </c>
      <c r="AF344" t="inlineStr">
        <is>
          <t>N/A</t>
        </is>
      </c>
      <c r="AG344" t="inlineStr">
        <is>
          <t>N/A</t>
        </is>
      </c>
      <c r="AH344" t="inlineStr">
        <is>
          <t>N/A</t>
        </is>
      </c>
      <c r="AI344" t="inlineStr">
        <is>
          <t>N/A</t>
        </is>
      </c>
      <c r="AJ344" t="inlineStr">
        <is>
          <t>N/A</t>
        </is>
      </c>
      <c r="AK344" t="inlineStr">
        <is>
          <t>Official rules: non-Group card types do not use normal Group control-arrow geometry.</t>
        </is>
      </c>
    </row>
    <row r="345" ht="34" customHeight="1" s="16">
      <c r="A345" s="20" t="inlineStr">
        <is>
          <t>Sucked Dry and Cast Aside</t>
        </is>
      </c>
      <c r="B345" s="20" t="inlineStr">
        <is>
          <t>Plot</t>
        </is>
      </c>
      <c r="C345" s="20" t="inlineStr">
        <is>
          <t>Plot</t>
        </is>
      </c>
      <c r="D345" s="20" t="inlineStr">
        <is>
          <t>Uncommon</t>
        </is>
      </c>
      <c r="E345" s="20" t="str"/>
      <c r="F345" s="20" t="str"/>
      <c r="G345" s="20" t="str"/>
      <c r="H345" s="20" t="str"/>
      <c r="I345" s="20" t="inlineStr">
        <is>
          <t>For a single action, one of your groups (not your Illuminati) has its Power multiplied by 4. Afterward that group is treated as destroyed, but it does not count toward anyone's Goals.</t>
        </is>
      </c>
      <c r="J345" s="20" t="inlineStr">
        <is>
          <t>Needs rules-engine encoding</t>
        </is>
      </c>
      <c r="K345" s="20" t="inlineStr">
        <is>
          <t>High</t>
        </is>
      </c>
      <c r="L345" s="20" t="inlineStr">
        <is>
          <t>Timing not stated on card; assumed played when the action is declared.</t>
        </is>
      </c>
      <c r="M345" s="20" t="inlineStr">
        <is>
          <t>https://github.com/Cha0smagick/Virtual-Illuminati-New-World-order-INWO-game</t>
        </is>
      </c>
      <c r="N345" t="inlineStr">
        <is>
          <t>When one of your groups takes an action</t>
        </is>
      </c>
      <c r="O345" t="inlineStr">
        <is>
          <t>One group you control (not Illuminati)</t>
        </is>
      </c>
      <c r="P345" t="inlineStr">
        <is>
          <t>None beyond the action being taken</t>
        </is>
      </c>
      <c r="Q345" t="inlineStr">
        <is>
          <t>One action, then group destroyed</t>
        </is>
      </c>
      <c r="R345" t="inlineStr">
        <is>
          <t>Power x4 for one action; group then destroyed (not counted for Goals)</t>
        </is>
      </c>
      <c r="S345" t="inlineStr">
        <is>
          <t>NO</t>
        </is>
      </c>
      <c r="T345" t="inlineStr">
        <is>
          <t>N/A</t>
        </is>
      </c>
      <c r="U345" t="inlineStr">
        <is>
          <t>N/A</t>
        </is>
      </c>
      <c r="V345" t="inlineStr">
        <is>
          <t>N/A — INWO uses Plots instead of group income/money</t>
        </is>
      </c>
      <c r="W345" t="inlineStr">
        <is>
          <t>N/A</t>
        </is>
      </c>
      <c r="X345" t="inlineStr">
        <is>
          <t>No card-specific limit (base duplicate rules apply)</t>
        </is>
      </c>
      <c r="Y345" t="inlineStr">
        <is>
          <t>Target must be a group you control other than your Illuminati</t>
        </is>
      </c>
      <c r="Z345" t="inlineStr">
        <is>
          <t>Standard response window</t>
        </is>
      </c>
      <c r="AA345" t="inlineStr">
        <is>
          <t>Specific card overrides general rules</t>
        </is>
      </c>
      <c r="AB345" t="inlineStr">
        <is>
          <t>Full card scan read; behaviour paraphrased (no card text copied)</t>
        </is>
      </c>
      <c r="AC345" t="inlineStr">
        <is>
          <t>FUNCTIONALLY COMPLETE</t>
        </is>
      </c>
      <c r="AD345" t="inlineStr">
        <is>
          <t>None</t>
        </is>
      </c>
      <c r="AE345" t="inlineStr">
        <is>
          <t>Card scan (GitHub: Cha0smagick/Virtual-Illuminati-New-World-order-INWO-game), read Sep 2026</t>
        </is>
      </c>
      <c r="AF345" t="inlineStr">
        <is>
          <t>N/A</t>
        </is>
      </c>
      <c r="AG345" t="inlineStr">
        <is>
          <t>N/A</t>
        </is>
      </c>
      <c r="AH345" t="inlineStr">
        <is>
          <t>N/A</t>
        </is>
      </c>
      <c r="AI345" t="inlineStr">
        <is>
          <t>N/A</t>
        </is>
      </c>
      <c r="AJ345" t="inlineStr">
        <is>
          <t>N/A</t>
        </is>
      </c>
      <c r="AK345" t="inlineStr">
        <is>
          <t>Official rules: non-Group card types do not use normal Group control-arrow geometry.</t>
        </is>
      </c>
    </row>
    <row r="346" ht="34" customHeight="1" s="16">
      <c r="A346" s="20" t="inlineStr">
        <is>
          <t>Sweeping Reforms</t>
        </is>
      </c>
      <c r="B346" s="20" t="inlineStr">
        <is>
          <t>Plot</t>
        </is>
      </c>
      <c r="C346" s="20" t="inlineStr">
        <is>
          <t>Plot</t>
        </is>
      </c>
      <c r="D346" s="20" t="inlineStr">
        <is>
          <t>Uncommon</t>
        </is>
      </c>
      <c r="E346" s="20" t="str"/>
      <c r="F346" s="20" t="str"/>
      <c r="G346" s="20" t="str"/>
      <c r="H346" s="20" t="str"/>
      <c r="I346" s="20" t="inlineStr">
        <is>
          <t>Discard every New World Order card currently in play. Needs actions from Media groups with combined Power of 6 or more; those groups may come from more than one player, if their owners agree. Playable any time.</t>
        </is>
      </c>
      <c r="J346" s="20" t="inlineStr">
        <is>
          <t>Needs rules-engine encoding</t>
        </is>
      </c>
      <c r="K346" s="20" t="inlineStr">
        <is>
          <t>High</t>
        </is>
      </c>
      <c r="L346" s="20" t="str"/>
      <c r="M346" s="20" t="inlineStr">
        <is>
          <t>https://github.com/Cha0smagick/Virtual-Illuminati-New-World-order-INWO-game</t>
        </is>
      </c>
      <c r="N346" t="inlineStr">
        <is>
          <t>Play at any time</t>
        </is>
      </c>
      <c r="O346" t="inlineStr">
        <is>
          <t>All New World Order cards in play</t>
        </is>
      </c>
      <c r="P346" t="inlineStr">
        <is>
          <t>Actions of Media groups totaling Power 6+ (may be from multiple players)</t>
        </is>
      </c>
      <c r="Q346" t="inlineStr">
        <is>
          <t>Immediate</t>
        </is>
      </c>
      <c r="R346" t="inlineStr">
        <is>
          <t>Discard all NWO cards in play</t>
        </is>
      </c>
      <c r="S346" t="inlineStr">
        <is>
          <t>NO</t>
        </is>
      </c>
      <c r="T346" t="inlineStr">
        <is>
          <t>N/A</t>
        </is>
      </c>
      <c r="U346" t="inlineStr">
        <is>
          <t>N/A</t>
        </is>
      </c>
      <c r="V346" t="inlineStr">
        <is>
          <t>N/A — INWO uses Plots instead of group income/money</t>
        </is>
      </c>
      <c r="W346" t="inlineStr">
        <is>
          <t>N/A</t>
        </is>
      </c>
      <c r="X346" t="inlineStr">
        <is>
          <t>No card-specific limit (base duplicate rules apply)</t>
        </is>
      </c>
      <c r="Y346" t="inlineStr">
        <is>
          <t>Media groups with combined Power &gt;= 6 and available actions (other players may contribute)</t>
        </is>
      </c>
      <c r="Z346" t="inlineStr">
        <is>
          <t>Standard response window</t>
        </is>
      </c>
      <c r="AA346" t="inlineStr">
        <is>
          <t>Specific card overrides general rules</t>
        </is>
      </c>
      <c r="AB346" t="inlineStr">
        <is>
          <t>Full card scan read; behaviour paraphrased (no card text copied)</t>
        </is>
      </c>
      <c r="AC346" t="inlineStr">
        <is>
          <t>FUNCTIONALLY COMPLETE</t>
        </is>
      </c>
      <c r="AD346" t="inlineStr">
        <is>
          <t>None</t>
        </is>
      </c>
      <c r="AE346" t="inlineStr">
        <is>
          <t>Card scan (GitHub: Cha0smagick/Virtual-Illuminati-New-World-order-INWO-game), read Sep 2026</t>
        </is>
      </c>
      <c r="AF346" t="inlineStr">
        <is>
          <t>N/A</t>
        </is>
      </c>
      <c r="AG346" t="inlineStr">
        <is>
          <t>N/A</t>
        </is>
      </c>
      <c r="AH346" t="inlineStr">
        <is>
          <t>N/A</t>
        </is>
      </c>
      <c r="AI346" t="inlineStr">
        <is>
          <t>N/A</t>
        </is>
      </c>
      <c r="AJ346" t="inlineStr">
        <is>
          <t>N/A</t>
        </is>
      </c>
      <c r="AK346" t="inlineStr">
        <is>
          <t>Official rules: non-Group card types do not use normal Group control-arrow geometry.</t>
        </is>
      </c>
    </row>
    <row r="347" ht="34" customHeight="1" s="16">
      <c r="A347" s="20" t="inlineStr">
        <is>
          <t>Sweepstakes Prize</t>
        </is>
      </c>
      <c r="B347" s="20" t="inlineStr">
        <is>
          <t>Plot</t>
        </is>
      </c>
      <c r="C347" s="20" t="inlineStr">
        <is>
          <t>Plot</t>
        </is>
      </c>
      <c r="D347" s="20" t="inlineStr">
        <is>
          <t>Common</t>
        </is>
      </c>
      <c r="E347" s="20" t="str"/>
      <c r="F347" s="20" t="str"/>
      <c r="G347" s="20" t="str"/>
      <c r="H347" s="20" t="str"/>
      <c r="I347" s="20" t="inlineStr">
        <is>
          <t>Link to one of your Personalities. That Personality permanently gets +4 on any direct Attack to Control it makes.</t>
        </is>
      </c>
      <c r="J347" s="20" t="inlineStr">
        <is>
          <t>Needs rules-engine encoding</t>
        </is>
      </c>
      <c r="K347" s="20" t="inlineStr">
        <is>
          <t>High</t>
        </is>
      </c>
      <c r="L347" s="20" t="inlineStr">
        <is>
          <t>Card gives no explicit timing; assumed playable any time.</t>
        </is>
      </c>
      <c r="M347" s="20" t="inlineStr">
        <is>
          <t>https://github.com/Cha0smagick/Virtual-Illuminati-New-World-order-INWO-game</t>
        </is>
      </c>
      <c r="N347" t="inlineStr">
        <is>
          <t>Play at any time (no stated timing restriction)</t>
        </is>
      </c>
      <c r="O347" t="inlineStr">
        <is>
          <t>One Personality you control</t>
        </is>
      </c>
      <c r="P347" t="inlineStr">
        <is>
          <t>None</t>
        </is>
      </c>
      <c r="Q347" t="inlineStr">
        <is>
          <t>Permanent while linked</t>
        </is>
      </c>
      <c r="R347" t="inlineStr">
        <is>
          <t>+4 to direct Attacks to Control made by the linked Personality</t>
        </is>
      </c>
      <c r="S347" t="inlineStr">
        <is>
          <t>NO</t>
        </is>
      </c>
      <c r="T347" t="inlineStr">
        <is>
          <t>N/A</t>
        </is>
      </c>
      <c r="U347" t="inlineStr">
        <is>
          <t>N/A</t>
        </is>
      </c>
      <c r="V347" t="inlineStr">
        <is>
          <t>N/A — INWO uses Plots instead of group income/money</t>
        </is>
      </c>
      <c r="W347" t="inlineStr">
        <is>
          <t>N/A</t>
        </is>
      </c>
      <c r="X347" t="inlineStr">
        <is>
          <t>Limit per player: a single copy on the table</t>
        </is>
      </c>
      <c r="Y347" t="inlineStr">
        <is>
          <t>Target must be a Personality you control</t>
        </is>
      </c>
      <c r="Z347" t="inlineStr">
        <is>
          <t>Standard response window</t>
        </is>
      </c>
      <c r="AA347" t="inlineStr">
        <is>
          <t>Specific card overrides general rules</t>
        </is>
      </c>
      <c r="AB347" t="inlineStr">
        <is>
          <t>Full card scan read; behaviour paraphrased (no card text copied)</t>
        </is>
      </c>
      <c r="AC347" t="inlineStr">
        <is>
          <t>FUNCTIONALLY COMPLETE</t>
        </is>
      </c>
      <c r="AD347" t="inlineStr">
        <is>
          <t>None</t>
        </is>
      </c>
      <c r="AE347" t="inlineStr">
        <is>
          <t>Card scan (GitHub: Cha0smagick/Virtual-Illuminati-New-World-order-INWO-game), read Sep 2026</t>
        </is>
      </c>
      <c r="AF347" t="inlineStr">
        <is>
          <t>N/A</t>
        </is>
      </c>
      <c r="AG347" t="inlineStr">
        <is>
          <t>N/A</t>
        </is>
      </c>
      <c r="AH347" t="inlineStr">
        <is>
          <t>N/A</t>
        </is>
      </c>
      <c r="AI347" t="inlineStr">
        <is>
          <t>N/A</t>
        </is>
      </c>
      <c r="AJ347" t="inlineStr">
        <is>
          <t>N/A</t>
        </is>
      </c>
      <c r="AK347" t="inlineStr">
        <is>
          <t>Official rules: non-Group card types do not use normal Group control-arrow geometry.</t>
        </is>
      </c>
    </row>
    <row r="348" ht="34" customHeight="1" s="16">
      <c r="A348" s="20" t="inlineStr">
        <is>
          <t>Swiss Bank Account</t>
        </is>
      </c>
      <c r="B348" s="20" t="inlineStr">
        <is>
          <t>Plot</t>
        </is>
      </c>
      <c r="C348" s="20" t="inlineStr">
        <is>
          <t>Plot</t>
        </is>
      </c>
      <c r="D348" s="20" t="inlineStr">
        <is>
          <t>Common</t>
        </is>
      </c>
      <c r="E348" s="20" t="str"/>
      <c r="F348" s="20" t="str"/>
      <c r="G348" s="20" t="str"/>
      <c r="H348" s="20" t="str"/>
      <c r="I348" s="20" t="inlineStr">
        <is>
          <t>Give your Illuminati +10 Power for one direct attack. Cannot be applied to Global Power.</t>
        </is>
      </c>
      <c r="J348" s="20" t="inlineStr">
        <is>
          <t>Needs rules-engine encoding</t>
        </is>
      </c>
      <c r="K348" s="20" t="inlineStr">
        <is>
          <t>High</t>
        </is>
      </c>
      <c r="L348" s="20" t="str"/>
      <c r="M348" s="20" t="inlineStr">
        <is>
          <t>https://github.com/Cha0smagick/Virtual-Illuminati-New-World-order-INWO-game</t>
        </is>
      </c>
      <c r="N348" t="inlineStr">
        <is>
          <t>Play at any time (with a direct Illuminati attack)</t>
        </is>
      </c>
      <c r="O348" t="inlineStr">
        <is>
          <t>Your Illuminati</t>
        </is>
      </c>
      <c r="P348" t="inlineStr">
        <is>
          <t>None</t>
        </is>
      </c>
      <c r="Q348" t="inlineStr">
        <is>
          <t>Single direct attack</t>
        </is>
      </c>
      <c r="R348" t="inlineStr">
        <is>
          <t>+10 Power to your Illuminati for one direct attack; not usable as Global Power</t>
        </is>
      </c>
      <c r="S348" t="inlineStr">
        <is>
          <t>NO</t>
        </is>
      </c>
      <c r="T348" t="inlineStr">
        <is>
          <t>N/A</t>
        </is>
      </c>
      <c r="U348" t="inlineStr">
        <is>
          <t>N/A</t>
        </is>
      </c>
      <c r="V348" t="inlineStr">
        <is>
          <t>N/A — INWO uses Plots instead of group income/money</t>
        </is>
      </c>
      <c r="W348" t="inlineStr">
        <is>
          <t>N/A</t>
        </is>
      </c>
      <c r="X348" t="inlineStr">
        <is>
          <t>No card-specific limit (base duplicate rules apply)</t>
        </is>
      </c>
      <c r="Y348" t="inlineStr">
        <is>
          <t>Your Illuminati must be making a direct attack</t>
        </is>
      </c>
      <c r="Z348" t="inlineStr">
        <is>
          <t>Standard response window</t>
        </is>
      </c>
      <c r="AA348" t="inlineStr">
        <is>
          <t>Specific card overrides general rules</t>
        </is>
      </c>
      <c r="AB348" t="inlineStr">
        <is>
          <t>Full card scan read; behaviour paraphrased (no card text copied)</t>
        </is>
      </c>
      <c r="AC348" t="inlineStr">
        <is>
          <t>FUNCTIONALLY COMPLETE</t>
        </is>
      </c>
      <c r="AD348" t="inlineStr">
        <is>
          <t>None</t>
        </is>
      </c>
      <c r="AE348" t="inlineStr">
        <is>
          <t>Card scan (GitHub: Cha0smagick/Virtual-Illuminati-New-World-order-INWO-game), read Sep 2026</t>
        </is>
      </c>
      <c r="AF348" t="inlineStr">
        <is>
          <t>N/A</t>
        </is>
      </c>
      <c r="AG348" t="inlineStr">
        <is>
          <t>N/A</t>
        </is>
      </c>
      <c r="AH348" t="inlineStr">
        <is>
          <t>N/A</t>
        </is>
      </c>
      <c r="AI348" t="inlineStr">
        <is>
          <t>N/A</t>
        </is>
      </c>
      <c r="AJ348" t="inlineStr">
        <is>
          <t>N/A</t>
        </is>
      </c>
      <c r="AK348" t="inlineStr">
        <is>
          <t>Official rules: non-Group card types do not use normal Group control-arrow geometry.</t>
        </is>
      </c>
    </row>
    <row r="349" ht="34" customHeight="1" s="16">
      <c r="A349" s="20" t="inlineStr">
        <is>
          <t>Talisman of Ahrimanes</t>
        </is>
      </c>
      <c r="B349" s="20" t="inlineStr">
        <is>
          <t>Plot</t>
        </is>
      </c>
      <c r="C349" s="20" t="inlineStr">
        <is>
          <t>Plot</t>
        </is>
      </c>
      <c r="D349" s="20" t="inlineStr">
        <is>
          <t>Common</t>
        </is>
      </c>
      <c r="E349" s="20" t="str"/>
      <c r="F349" s="20" t="str"/>
      <c r="G349" s="20" t="str"/>
      <c r="H349" s="20" t="str"/>
      <c r="I349" s="20" t="inlineStr">
        <is>
          <t>Play only after an Assassination; it fails automatically. Link the Talisman to the Personality it saved for the rest of the game: that Personality gains +2 against later Attacks to Destroy, or +10 against later Assassinations. Should the Personality die regardless, the Talisman goes with it.</t>
        </is>
      </c>
      <c r="J349" s="20" t="inlineStr">
        <is>
          <t>Needs rules-engine encoding</t>
        </is>
      </c>
      <c r="K349" s="20" t="inlineStr">
        <is>
          <t>High</t>
        </is>
      </c>
      <c r="L349" s="20" t="str"/>
      <c r="M349" s="20" t="inlineStr">
        <is>
          <t>https://github.com/Cha0smagick/Virtual-Illuminati-New-World-order-INWO-game</t>
        </is>
      </c>
      <c r="N349" t="inlineStr">
        <is>
          <t>In response to an Assassination</t>
        </is>
      </c>
      <c r="O349" t="inlineStr">
        <is>
          <t>The Personality targeted by an Assassination</t>
        </is>
      </c>
      <c r="P349" t="inlineStr">
        <is>
          <t>None</t>
        </is>
      </c>
      <c r="Q349" t="inlineStr">
        <is>
          <t>Immediate (auto-fail) then permanent while linked</t>
        </is>
      </c>
      <c r="R349" t="inlineStr">
        <is>
          <t>Assassination auto-fails; linked Personality +2 vs attacks to destroy, +10 vs Assassinations; Talisman discarded if Personality destroyed</t>
        </is>
      </c>
      <c r="S349" t="inlineStr">
        <is>
          <t>NO</t>
        </is>
      </c>
      <c r="T349" t="inlineStr">
        <is>
          <t>N/A</t>
        </is>
      </c>
      <c r="U349" t="inlineStr">
        <is>
          <t>N/A</t>
        </is>
      </c>
      <c r="V349" t="inlineStr">
        <is>
          <t>N/A — INWO uses Plots instead of group income/money</t>
        </is>
      </c>
      <c r="W349" t="inlineStr">
        <is>
          <t>N/A</t>
        </is>
      </c>
      <c r="X349" t="inlineStr">
        <is>
          <t>Game-wide limit: a single Talisman of Ahrimanes on the table at any moment</t>
        </is>
      </c>
      <c r="Y349" t="inlineStr">
        <is>
          <t>An Assassination must have been played</t>
        </is>
      </c>
      <c r="Z349" t="inlineStr">
        <is>
          <t>Played as a response to an Assassination</t>
        </is>
      </c>
      <c r="AA349" t="inlineStr">
        <is>
          <t>Specific card overrides general rules</t>
        </is>
      </c>
      <c r="AB349" t="inlineStr">
        <is>
          <t>Full card scan read; behaviour paraphrased (no card text copied)</t>
        </is>
      </c>
      <c r="AC349" t="inlineStr">
        <is>
          <t>FUNCTIONALLY COMPLETE</t>
        </is>
      </c>
      <c r="AD349" t="inlineStr">
        <is>
          <t>None</t>
        </is>
      </c>
      <c r="AE349" t="inlineStr">
        <is>
          <t>Card scan (GitHub: Cha0smagick/Virtual-Illuminati-New-World-order-INWO-game), read Sep 2026</t>
        </is>
      </c>
      <c r="AF349" t="inlineStr">
        <is>
          <t>N/A</t>
        </is>
      </c>
      <c r="AG349" t="inlineStr">
        <is>
          <t>N/A</t>
        </is>
      </c>
      <c r="AH349" t="inlineStr">
        <is>
          <t>N/A</t>
        </is>
      </c>
      <c r="AI349" t="inlineStr">
        <is>
          <t>N/A</t>
        </is>
      </c>
      <c r="AJ349" t="inlineStr">
        <is>
          <t>N/A</t>
        </is>
      </c>
      <c r="AK349" t="inlineStr">
        <is>
          <t>Official rules: non-Group card types do not use normal Group control-arrow geometry.</t>
        </is>
      </c>
    </row>
    <row r="350" ht="34" customHeight="1" s="16">
      <c r="A350" s="20" t="inlineStr">
        <is>
          <t>Tax Breaks</t>
        </is>
      </c>
      <c r="B350" s="20" t="inlineStr">
        <is>
          <t>Plot</t>
        </is>
      </c>
      <c r="C350" s="20" t="inlineStr">
        <is>
          <t>Plot</t>
        </is>
      </c>
      <c r="D350" s="20" t="inlineStr">
        <is>
          <t>Uncommon</t>
        </is>
      </c>
      <c r="E350" s="20" t="str"/>
      <c r="F350" s="20" t="str"/>
      <c r="G350" s="20" t="str"/>
      <c r="H350" s="20" t="str"/>
      <c r="I350" s="20" t="inlineStr">
        <is>
          <t>Play at any time by spending your Illuminati's action. Give an Action token to Corporate groups of yours that have none: several whose Power adds up to 5 or less, or any single one. Groups captured this turn, or barred from receiving Action tokens by a card or special ability, cannot be chosen. (Official correction applied.)</t>
        </is>
      </c>
      <c r="J350" s="20" t="inlineStr">
        <is>
          <t>Needs rules-engine encoding</t>
        </is>
      </c>
      <c r="K350" s="20" t="inlineStr">
        <is>
          <t>High</t>
        </is>
      </c>
      <c r="L350" s="20" t="str"/>
      <c r="M350" s="20" t="inlineStr">
        <is>
          <t>https://github.com/Cha0smagick/Virtual-Illuminati-New-World-order-INWO-game</t>
        </is>
      </c>
      <c r="N350" t="inlineStr">
        <is>
          <t>Play at any time</t>
        </is>
      </c>
      <c r="O350" t="inlineStr">
        <is>
          <t>Your Corporate groups without an Action token, not captured this turn: up to 5 total Power, or any one group</t>
        </is>
      </c>
      <c r="P350" t="inlineStr">
        <is>
          <t>1 Illuminati action (errata)</t>
        </is>
      </c>
      <c r="Q350" t="inlineStr">
        <is>
          <t>Immediate</t>
        </is>
      </c>
      <c r="R350" t="inlineStr">
        <is>
          <t>Chosen Corporate groups of yours with no Action token gain one (5 total Power at most, or a single group of any Power)</t>
        </is>
      </c>
      <c r="S350" t="inlineStr">
        <is>
          <t>NO</t>
        </is>
      </c>
      <c r="T350" t="inlineStr">
        <is>
          <t>N/A</t>
        </is>
      </c>
      <c r="U350" t="inlineStr">
        <is>
          <t>N/A</t>
        </is>
      </c>
      <c r="V350" t="inlineStr">
        <is>
          <t>N/A — INWO uses Plots instead of group income/money</t>
        </is>
      </c>
      <c r="W350" t="inlineStr">
        <is>
          <t>N/A</t>
        </is>
      </c>
      <c r="X350" t="inlineStr">
        <is>
          <t>No card-specific limit (base duplicate rules apply)</t>
        </is>
      </c>
      <c r="Y350" t="inlineStr">
        <is>
          <t>None beyond base rules</t>
        </is>
      </c>
      <c r="Z350" t="inlineStr">
        <is>
          <t>Standard response window</t>
        </is>
      </c>
      <c r="AA350" t="inlineStr">
        <is>
          <t>Specific card overrides general rules</t>
        </is>
      </c>
      <c r="AB350" t="inlineStr">
        <is>
          <t>Full card scan read; behaviour paraphrased (no card text copied)</t>
        </is>
      </c>
      <c r="AC350" t="inlineStr">
        <is>
          <t>FUNCTIONALLY COMPLETE</t>
        </is>
      </c>
      <c r="AD350" t="inlineStr">
        <is>
          <t>None</t>
        </is>
      </c>
      <c r="AE350" t="inlineStr">
        <is>
          <t>Card scan (GitHub: Cha0smagick/Virtual-Illuminati-New-World-order-INWO-game), read Sep 2026</t>
        </is>
      </c>
      <c r="AF350" t="inlineStr">
        <is>
          <t>N/A</t>
        </is>
      </c>
      <c r="AG350" t="inlineStr">
        <is>
          <t>N/A</t>
        </is>
      </c>
      <c r="AH350" t="inlineStr">
        <is>
          <t>N/A</t>
        </is>
      </c>
      <c r="AI350" t="inlineStr">
        <is>
          <t>N/A</t>
        </is>
      </c>
      <c r="AJ350" t="inlineStr">
        <is>
          <t>N/A</t>
        </is>
      </c>
      <c r="AK350" t="inlineStr">
        <is>
          <t>Official rules: non-Group card types do not use normal Group control-arrow geometry.</t>
        </is>
      </c>
    </row>
    <row r="351" ht="34" customHeight="1" s="16">
      <c r="A351" s="20" t="inlineStr">
        <is>
          <t>Terrorist Nuke</t>
        </is>
      </c>
      <c r="B351" s="20" t="inlineStr">
        <is>
          <t>Plot</t>
        </is>
      </c>
      <c r="C351" s="20" t="inlineStr">
        <is>
          <t>Plot</t>
        </is>
      </c>
      <c r="D351" s="20" t="inlineStr">
        <is>
          <t>Common</t>
        </is>
      </c>
      <c r="E351" s="20" t="str"/>
      <c r="F351" s="20" t="str"/>
      <c r="G351" s="20" t="str"/>
      <c r="H351" s="20" t="str"/>
      <c r="I351" s="20" t="inlineStr">
        <is>
          <t>Give one Violent group you control +10, applied either to its Power or to its Resistance (player picks). When boosting an action, it must be played at the moment the action is declared and applies only to that single action. When used defensively, the Resistance bonus lasts until end of the current turn and is not counted for Goals.</t>
        </is>
      </c>
      <c r="J351" s="20" t="inlineStr">
        <is>
          <t>Needs rules-engine encoding</t>
        </is>
      </c>
      <c r="K351" s="20" t="inlineStr">
        <is>
          <t>High</t>
        </is>
      </c>
      <c r="L351" s="20" t="str"/>
      <c r="M351" s="20" t="inlineStr">
        <is>
          <t>https://github.com/Cha0smagick/Virtual-Illuminati-New-World-order-INWO-game</t>
        </is>
      </c>
      <c r="N351" t="inlineStr">
        <is>
          <t>Play at any time (with an action: only when that action is first declared)</t>
        </is>
      </c>
      <c r="O351" t="inlineStr">
        <is>
          <t>One Violent group you control</t>
        </is>
      </c>
      <c r="P351" t="inlineStr">
        <is>
          <t>None</t>
        </is>
      </c>
      <c r="Q351" t="inlineStr">
        <is>
          <t>Single action (offense) or until end of current turn (defense)</t>
        </is>
      </c>
      <c r="R351" t="inlineStr">
        <is>
          <t>+10 Power or +10 Resistance (choice) to one controlled group; defensive bonus ignored for Goals</t>
        </is>
      </c>
      <c r="S351" t="inlineStr">
        <is>
          <t>NO</t>
        </is>
      </c>
      <c r="T351" t="inlineStr">
        <is>
          <t>N/A</t>
        </is>
      </c>
      <c r="U351" t="inlineStr">
        <is>
          <t>N/A</t>
        </is>
      </c>
      <c r="V351" t="inlineStr">
        <is>
          <t>N/A — INWO uses Plots instead of group income/money</t>
        </is>
      </c>
      <c r="W351" t="inlineStr">
        <is>
          <t>N/A</t>
        </is>
      </c>
      <c r="X351" t="inlineStr">
        <is>
          <t>No card-specific limit (base duplicate rules apply)</t>
        </is>
      </c>
      <c r="Y351" t="inlineStr">
        <is>
          <t>Target must be a Violent group you control; if boosting an action, must be played when the action is declared</t>
        </is>
      </c>
      <c r="Z351" t="inlineStr">
        <is>
          <t>Standard response window</t>
        </is>
      </c>
      <c r="AA351" t="inlineStr">
        <is>
          <t>Specific card overrides general rules</t>
        </is>
      </c>
      <c r="AB351" t="inlineStr">
        <is>
          <t>Full card scan read; behaviour paraphrased (no card text copied)</t>
        </is>
      </c>
      <c r="AC351" t="inlineStr">
        <is>
          <t>FUNCTIONALLY COMPLETE</t>
        </is>
      </c>
      <c r="AD351" t="inlineStr">
        <is>
          <t>None</t>
        </is>
      </c>
      <c r="AE351" t="inlineStr">
        <is>
          <t>Card scan (GitHub: Cha0smagick/Virtual-Illuminati-New-World-order-INWO-game), read Sep 2026</t>
        </is>
      </c>
      <c r="AF351" t="inlineStr">
        <is>
          <t>N/A</t>
        </is>
      </c>
      <c r="AG351" t="inlineStr">
        <is>
          <t>N/A</t>
        </is>
      </c>
      <c r="AH351" t="inlineStr">
        <is>
          <t>N/A</t>
        </is>
      </c>
      <c r="AI351" t="inlineStr">
        <is>
          <t>N/A</t>
        </is>
      </c>
      <c r="AJ351" t="inlineStr">
        <is>
          <t>N/A</t>
        </is>
      </c>
      <c r="AK351" t="inlineStr">
        <is>
          <t>Official rules: non-Group card types do not use normal Group control-arrow geometry.</t>
        </is>
      </c>
    </row>
    <row r="352" ht="34" customHeight="1" s="16">
      <c r="A352" s="20" t="inlineStr">
        <is>
          <t>The Auditor From Hell</t>
        </is>
      </c>
      <c r="B352" s="20" t="inlineStr">
        <is>
          <t>Plot</t>
        </is>
      </c>
      <c r="C352" s="20" t="inlineStr">
        <is>
          <t>Plot</t>
        </is>
      </c>
      <c r="D352" s="20" t="inlineStr">
        <is>
          <t>Common</t>
        </is>
      </c>
      <c r="E352" s="20" t="str"/>
      <c r="F352" s="20" t="str"/>
      <c r="G352" s="20" t="str"/>
      <c r="H352" s="20" t="str"/>
      <c r="I352" s="20" t="inlineStr">
        <is>
          <t>Choose a rival and view all of his hidden Plots, then either keep one of them or reveal them all. Playable anytime, but only by the Network, a Computer group or a Bank group, spending that group's action.</t>
        </is>
      </c>
      <c r="J352" s="20" t="inlineStr">
        <is>
          <t>Needs rules-engine encoding</t>
        </is>
      </c>
      <c r="K352" s="20" t="inlineStr">
        <is>
          <t>High</t>
        </is>
      </c>
      <c r="L352" s="20" t="str"/>
      <c r="M352" s="20" t="inlineStr">
        <is>
          <t>https://github.com/Cha0smagick/Virtual-Illuminati-New-World-order-INWO-game</t>
        </is>
      </c>
      <c r="N352" t="inlineStr">
        <is>
          <t>Play at any time</t>
        </is>
      </c>
      <c r="O352" t="inlineStr">
        <is>
          <t>One rival's hidden Plot cards</t>
        </is>
      </c>
      <c r="P352" t="inlineStr">
        <is>
          <t>Action of the Network, a Computer group, or a Bank group</t>
        </is>
      </c>
      <c r="Q352" t="inlineStr">
        <is>
          <t>Immediate</t>
        </is>
      </c>
      <c r="R352" t="inlineStr">
        <is>
          <t>View all of target rival's hidden Plots; then steal 1 OR expose all</t>
        </is>
      </c>
      <c r="S352" t="inlineStr">
        <is>
          <t>NO</t>
        </is>
      </c>
      <c r="T352" t="inlineStr">
        <is>
          <t>N/A</t>
        </is>
      </c>
      <c r="U352" t="inlineStr">
        <is>
          <t>N/A</t>
        </is>
      </c>
      <c r="V352" t="inlineStr">
        <is>
          <t>N/A — INWO uses Plots instead of group income/money</t>
        </is>
      </c>
      <c r="W352" t="inlineStr">
        <is>
          <t>N/A</t>
        </is>
      </c>
      <c r="X352" t="inlineStr">
        <is>
          <t>No card-specific limit (base duplicate rules apply)</t>
        </is>
      </c>
      <c r="Y352" t="inlineStr">
        <is>
          <t>Needs the Network, a Computer group, or a Bank group that still has its action</t>
        </is>
      </c>
      <c r="Z352" t="inlineStr">
        <is>
          <t>Standard response window</t>
        </is>
      </c>
      <c r="AA352" t="inlineStr">
        <is>
          <t>Specific card overrides general rules</t>
        </is>
      </c>
      <c r="AB352" t="inlineStr">
        <is>
          <t>Full card scan read; behaviour paraphrased (no card text copied)</t>
        </is>
      </c>
      <c r="AC352" t="inlineStr">
        <is>
          <t>FUNCTIONALLY COMPLETE</t>
        </is>
      </c>
      <c r="AD352" t="inlineStr">
        <is>
          <t>None</t>
        </is>
      </c>
      <c r="AE352" t="inlineStr">
        <is>
          <t>Card scan (GitHub: Cha0smagick/Virtual-Illuminati-New-World-order-INWO-game), read Sep 2026</t>
        </is>
      </c>
      <c r="AF352" t="inlineStr">
        <is>
          <t>N/A</t>
        </is>
      </c>
      <c r="AG352" t="inlineStr">
        <is>
          <t>N/A</t>
        </is>
      </c>
      <c r="AH352" t="inlineStr">
        <is>
          <t>N/A</t>
        </is>
      </c>
      <c r="AI352" t="inlineStr">
        <is>
          <t>N/A</t>
        </is>
      </c>
      <c r="AJ352" t="inlineStr">
        <is>
          <t>N/A</t>
        </is>
      </c>
      <c r="AK352" t="inlineStr">
        <is>
          <t>Official rules: non-Group card types do not use normal Group control-arrow geometry.</t>
        </is>
      </c>
    </row>
    <row r="353" ht="34" customHeight="1" s="16">
      <c r="A353" s="20" t="inlineStr">
        <is>
          <t>The Big Score</t>
        </is>
      </c>
      <c r="B353" s="20" t="inlineStr">
        <is>
          <t>Plot</t>
        </is>
      </c>
      <c r="C353" s="20" t="inlineStr">
        <is>
          <t>Plot</t>
        </is>
      </c>
      <c r="D353" s="20" t="inlineStr">
        <is>
          <t>Common</t>
        </is>
      </c>
      <c r="E353" s="20" t="str"/>
      <c r="F353" s="20" t="str"/>
      <c r="G353" s="20" t="str"/>
      <c r="H353" s="20" t="str"/>
      <c r="I353" s="20" t="inlineStr">
        <is>
          <t>Give one Criminal group you control +10, applied either to its Power or to its Resistance (player picks). When boosting an action, it must be played at the moment the action is declared and applies only to that single action. When used defensively, the Resistance bonus lasts until end of the current turn and is not counted for Goals.</t>
        </is>
      </c>
      <c r="J353" s="20" t="inlineStr">
        <is>
          <t>Needs rules-engine encoding</t>
        </is>
      </c>
      <c r="K353" s="20" t="inlineStr">
        <is>
          <t>High</t>
        </is>
      </c>
      <c r="L353" s="20" t="str"/>
      <c r="M353" s="20" t="inlineStr">
        <is>
          <t>https://github.com/Cha0smagick/Virtual-Illuminati-New-World-order-INWO-game</t>
        </is>
      </c>
      <c r="N353" t="inlineStr">
        <is>
          <t>Play at any time (with an action: only when that action is first declared)</t>
        </is>
      </c>
      <c r="O353" t="inlineStr">
        <is>
          <t>One Criminal group you control</t>
        </is>
      </c>
      <c r="P353" t="inlineStr">
        <is>
          <t>None</t>
        </is>
      </c>
      <c r="Q353" t="inlineStr">
        <is>
          <t>Single action (offense) or until end of current turn (defense)</t>
        </is>
      </c>
      <c r="R353" t="inlineStr">
        <is>
          <t>+10 Power or +10 Resistance (choice) to one controlled group; defensive bonus ignored for Goals</t>
        </is>
      </c>
      <c r="S353" t="inlineStr">
        <is>
          <t>NO</t>
        </is>
      </c>
      <c r="T353" t="inlineStr">
        <is>
          <t>N/A</t>
        </is>
      </c>
      <c r="U353" t="inlineStr">
        <is>
          <t>N/A</t>
        </is>
      </c>
      <c r="V353" t="inlineStr">
        <is>
          <t>N/A — INWO uses Plots instead of group income/money</t>
        </is>
      </c>
      <c r="W353" t="inlineStr">
        <is>
          <t>N/A</t>
        </is>
      </c>
      <c r="X353" t="inlineStr">
        <is>
          <t>No card-specific limit (base duplicate rules apply)</t>
        </is>
      </c>
      <c r="Y353" t="inlineStr">
        <is>
          <t>Target must be a Criminal group you control; if boosting an action, must be played when the action is declared</t>
        </is>
      </c>
      <c r="Z353" t="inlineStr">
        <is>
          <t>Standard response window</t>
        </is>
      </c>
      <c r="AA353" t="inlineStr">
        <is>
          <t>Specific card overrides general rules</t>
        </is>
      </c>
      <c r="AB353" t="inlineStr">
        <is>
          <t>Full card scan read; behaviour paraphrased (no card text copied)</t>
        </is>
      </c>
      <c r="AC353" t="inlineStr">
        <is>
          <t>FUNCTIONALLY COMPLETE</t>
        </is>
      </c>
      <c r="AD353" t="inlineStr">
        <is>
          <t>None</t>
        </is>
      </c>
      <c r="AE353" t="inlineStr">
        <is>
          <t>Card scan (GitHub: Cha0smagick/Virtual-Illuminati-New-World-order-INWO-game), read Sep 2026</t>
        </is>
      </c>
      <c r="AF353" t="inlineStr">
        <is>
          <t>N/A</t>
        </is>
      </c>
      <c r="AG353" t="inlineStr">
        <is>
          <t>N/A</t>
        </is>
      </c>
      <c r="AH353" t="inlineStr">
        <is>
          <t>N/A</t>
        </is>
      </c>
      <c r="AI353" t="inlineStr">
        <is>
          <t>N/A</t>
        </is>
      </c>
      <c r="AJ353" t="inlineStr">
        <is>
          <t>N/A</t>
        </is>
      </c>
      <c r="AK353" t="inlineStr">
        <is>
          <t>Official rules: non-Group card types do not use normal Group control-arrow geometry.</t>
        </is>
      </c>
    </row>
    <row r="354" ht="34" customHeight="1" s="16">
      <c r="A354" s="20" t="inlineStr">
        <is>
          <t>The Big Sellout</t>
        </is>
      </c>
      <c r="B354" s="20" t="inlineStr">
        <is>
          <t>Plot</t>
        </is>
      </c>
      <c r="C354" s="20" t="inlineStr">
        <is>
          <t>Plot</t>
        </is>
      </c>
      <c r="D354" s="20" t="inlineStr">
        <is>
          <t>Rare</t>
        </is>
      </c>
      <c r="E354" s="20" t="str"/>
      <c r="F354" s="20" t="str"/>
      <c r="G354" s="20" t="str"/>
      <c r="H354" s="20" t="str"/>
      <c r="I354" s="20" t="inlineStr">
        <is>
          <t>Play during your turn, right after you place Action tokens. Discard up to 10 cards total, taken from the Groups/Resources in your hand and/or the top of your Group deck. Each discarded Group grants one bonus Action token, placed on a group you control; a group can receive at most one bonus token from this card.</t>
        </is>
      </c>
      <c r="J354" s="20" t="inlineStr">
        <is>
          <t>Needs rules-engine encoding</t>
        </is>
      </c>
      <c r="K354" s="20" t="inlineStr">
        <is>
          <t>High</t>
        </is>
      </c>
      <c r="L354" s="20" t="inlineStr">
        <is>
          <t>Only discarded Groups (not Resources) generate extra tokens, per the card wording.</t>
        </is>
      </c>
      <c r="M354" s="20" t="inlineStr">
        <is>
          <t>https://github.com/Cha0smagick/Virtual-Illuminati-New-World-order-INWO-game</t>
        </is>
      </c>
      <c r="N354" t="inlineStr">
        <is>
          <t>Your turn, immediately after placing Action tokens</t>
        </is>
      </c>
      <c r="O354" t="inlineStr">
        <is>
          <t>Your hand/Groups deck and your own groups</t>
        </is>
      </c>
      <c r="P354" t="inlineStr">
        <is>
          <t>Discard of up to 10 Groups/Resources from hand and/or top of Groups deck</t>
        </is>
      </c>
      <c r="Q354" t="inlineStr">
        <is>
          <t>Immediate</t>
        </is>
      </c>
      <c r="R354" t="inlineStr">
        <is>
          <t>Per Group discarded: +1 Action token on one of your groups (max 1 extra per group); Resources discarded give no tokens</t>
        </is>
      </c>
      <c r="S354" t="inlineStr">
        <is>
          <t>NO</t>
        </is>
      </c>
      <c r="T354" t="inlineStr">
        <is>
          <t>N/A</t>
        </is>
      </c>
      <c r="U354" t="inlineStr">
        <is>
          <t>N/A</t>
        </is>
      </c>
      <c r="V354" t="inlineStr">
        <is>
          <t>N/A — INWO uses Plots instead of group income/money</t>
        </is>
      </c>
      <c r="W354" t="inlineStr">
        <is>
          <t>N/A</t>
        </is>
      </c>
      <c r="X354" t="inlineStr">
        <is>
          <t>No card-specific limit (base duplicate rules apply)</t>
        </is>
      </c>
      <c r="Y354" t="inlineStr">
        <is>
          <t>Must be your turn, just after token placement</t>
        </is>
      </c>
      <c r="Z354" t="inlineStr">
        <is>
          <t>Standard response window</t>
        </is>
      </c>
      <c r="AA354" t="inlineStr">
        <is>
          <t>Specific card overrides general rules</t>
        </is>
      </c>
      <c r="AB354" t="inlineStr">
        <is>
          <t>Full card scan read; behaviour paraphrased (no card text copied)</t>
        </is>
      </c>
      <c r="AC354" t="inlineStr">
        <is>
          <t>FUNCTIONALLY COMPLETE</t>
        </is>
      </c>
      <c r="AD354" t="inlineStr">
        <is>
          <t>None</t>
        </is>
      </c>
      <c r="AE354" t="inlineStr">
        <is>
          <t>Card scan (GitHub: Cha0smagick/Virtual-Illuminati-New-World-order-INWO-game), read Sep 2026</t>
        </is>
      </c>
      <c r="AF354" t="inlineStr">
        <is>
          <t>N/A</t>
        </is>
      </c>
      <c r="AG354" t="inlineStr">
        <is>
          <t>N/A</t>
        </is>
      </c>
      <c r="AH354" t="inlineStr">
        <is>
          <t>N/A</t>
        </is>
      </c>
      <c r="AI354" t="inlineStr">
        <is>
          <t>N/A</t>
        </is>
      </c>
      <c r="AJ354" t="inlineStr">
        <is>
          <t>N/A</t>
        </is>
      </c>
      <c r="AK354" t="inlineStr">
        <is>
          <t>Official rules: non-Group card types do not use normal Group control-arrow geometry.</t>
        </is>
      </c>
    </row>
    <row r="355" ht="34" customHeight="1" s="16">
      <c r="A355" s="20" t="inlineStr">
        <is>
          <t>The First Thing We Do, Let's Kill All The Lawyers</t>
        </is>
      </c>
      <c r="B355" s="20" t="inlineStr">
        <is>
          <t>Plot</t>
        </is>
      </c>
      <c r="C355" s="20" t="inlineStr">
        <is>
          <t>Plot</t>
        </is>
      </c>
      <c r="D355" s="20" t="inlineStr">
        <is>
          <t>Rare</t>
        </is>
      </c>
      <c r="E355" s="20" t="str"/>
      <c r="F355" s="20" t="str"/>
      <c r="G355" s="20" t="str"/>
      <c r="H355" s="20" t="str"/>
      <c r="I355" s="20" t="inlineStr">
        <is>
          <t>Adds +20 to any Attack to Destroy the Lawyers. The player using it must also read a humorous disclaimer aloud (flavor requirement, no game effect).</t>
        </is>
      </c>
      <c r="J355" s="20" t="inlineStr">
        <is>
          <t>Needs rules-engine encoding</t>
        </is>
      </c>
      <c r="K355" s="20" t="inlineStr">
        <is>
          <t>High</t>
        </is>
      </c>
      <c r="L355" s="20" t="inlineStr">
        <is>
          <t>Card includes a joke recitation requirement for the player; not an engine rule.</t>
        </is>
      </c>
      <c r="M355" s="20" t="inlineStr">
        <is>
          <t>https://github.com/Cha0smagick/Virtual-Illuminati-New-World-order-INWO-game</t>
        </is>
      </c>
      <c r="N355" t="inlineStr">
        <is>
          <t>With an Attack to Destroy the Lawyers</t>
        </is>
      </c>
      <c r="O355" t="inlineStr">
        <is>
          <t>The Lawyers group</t>
        </is>
      </c>
      <c r="P355" t="inlineStr">
        <is>
          <t>None</t>
        </is>
      </c>
      <c r="Q355" t="inlineStr">
        <is>
          <t>Single attack</t>
        </is>
      </c>
      <c r="R355" t="inlineStr">
        <is>
          <t>+20 to Attack to Destroy targeting the Lawyers</t>
        </is>
      </c>
      <c r="S355" t="inlineStr">
        <is>
          <t>NO</t>
        </is>
      </c>
      <c r="T355" t="inlineStr">
        <is>
          <t>N/A</t>
        </is>
      </c>
      <c r="U355" t="inlineStr">
        <is>
          <t>N/A</t>
        </is>
      </c>
      <c r="V355" t="inlineStr">
        <is>
          <t>N/A — INWO uses Plots instead of group income/money</t>
        </is>
      </c>
      <c r="W355" t="inlineStr">
        <is>
          <t>N/A</t>
        </is>
      </c>
      <c r="X355" t="inlineStr">
        <is>
          <t>No card-specific limit (base duplicate rules apply)</t>
        </is>
      </c>
      <c r="Y355" t="inlineStr">
        <is>
          <t>Attack must be an Attack to Destroy against the Lawyers</t>
        </is>
      </c>
      <c r="Z355" t="inlineStr">
        <is>
          <t>Standard response window</t>
        </is>
      </c>
      <c r="AA355" t="inlineStr">
        <is>
          <t>Specific card overrides general rules</t>
        </is>
      </c>
      <c r="AB355" t="inlineStr">
        <is>
          <t>Full card scan read; behaviour paraphrased (no card text copied)</t>
        </is>
      </c>
      <c r="AC355" t="inlineStr">
        <is>
          <t>FUNCTIONALLY COMPLETE</t>
        </is>
      </c>
      <c r="AD355" t="inlineStr">
        <is>
          <t>None</t>
        </is>
      </c>
      <c r="AE355" t="inlineStr">
        <is>
          <t>Card scan (GitHub: Cha0smagick/Virtual-Illuminati-New-World-order-INWO-game), read Sep 2026</t>
        </is>
      </c>
      <c r="AF355" t="inlineStr">
        <is>
          <t>N/A</t>
        </is>
      </c>
      <c r="AG355" t="inlineStr">
        <is>
          <t>N/A</t>
        </is>
      </c>
      <c r="AH355" t="inlineStr">
        <is>
          <t>N/A</t>
        </is>
      </c>
      <c r="AI355" t="inlineStr">
        <is>
          <t>N/A</t>
        </is>
      </c>
      <c r="AJ355" t="inlineStr">
        <is>
          <t>N/A</t>
        </is>
      </c>
      <c r="AK355" t="inlineStr">
        <is>
          <t>Official rules: non-Group card types do not use normal Group control-arrow geometry.</t>
        </is>
      </c>
    </row>
    <row r="356" ht="34" customHeight="1" s="16">
      <c r="A356" s="20" t="inlineStr">
        <is>
          <t>The Internet Worm</t>
        </is>
      </c>
      <c r="B356" s="20" t="inlineStr">
        <is>
          <t>Plot</t>
        </is>
      </c>
      <c r="C356" s="20" t="inlineStr">
        <is>
          <t>Plot</t>
        </is>
      </c>
      <c r="D356" s="20" t="inlineStr">
        <is>
          <t>Uncommon</t>
        </is>
      </c>
      <c r="E356" s="20" t="str"/>
      <c r="F356" s="20" t="str"/>
      <c r="G356" s="20" t="str"/>
      <c r="H356" s="20" t="str"/>
      <c r="I356" s="20" t="inlineStr">
        <is>
          <t>Choose a rival; the top three undrawn cards of his Plot deck are discarded without anyone seeing them. Playable any time; needs an Illuminati action or actions from Computer groups with total Power 3 or more.</t>
        </is>
      </c>
      <c r="J356" s="20" t="inlineStr">
        <is>
          <t>Needs rules-engine encoding</t>
        </is>
      </c>
      <c r="K356" s="20" t="inlineStr">
        <is>
          <t>High</t>
        </is>
      </c>
      <c r="L356" s="20" t="str"/>
      <c r="M356" s="20" t="inlineStr">
        <is>
          <t>https://github.com/Cha0smagick/Virtual-Illuminati-New-World-order-INWO-game</t>
        </is>
      </c>
      <c r="N356" t="inlineStr">
        <is>
          <t>Play at any time</t>
        </is>
      </c>
      <c r="O356" t="inlineStr">
        <is>
          <t>One rival's Plot deck</t>
        </is>
      </c>
      <c r="P356" t="inlineStr">
        <is>
          <t>1 Illuminati action OR actions of Computer groups totaling Power 3+</t>
        </is>
      </c>
      <c r="Q356" t="inlineStr">
        <is>
          <t>Immediate</t>
        </is>
      </c>
      <c r="R356" t="inlineStr">
        <is>
          <t>Discard top 3 cards of target rival's Plot deck, face down (unseen)</t>
        </is>
      </c>
      <c r="S356" t="inlineStr">
        <is>
          <t>NO</t>
        </is>
      </c>
      <c r="T356" t="inlineStr">
        <is>
          <t>N/A</t>
        </is>
      </c>
      <c r="U356" t="inlineStr">
        <is>
          <t>N/A</t>
        </is>
      </c>
      <c r="V356" t="inlineStr">
        <is>
          <t>N/A — INWO uses Plots instead of group income/money</t>
        </is>
      </c>
      <c r="W356" t="inlineStr">
        <is>
          <t>N/A</t>
        </is>
      </c>
      <c r="X356" t="inlineStr">
        <is>
          <t>No card-specific limit (base duplicate rules apply)</t>
        </is>
      </c>
      <c r="Y356" t="inlineStr">
        <is>
          <t>None beyond base rules</t>
        </is>
      </c>
      <c r="Z356" t="inlineStr">
        <is>
          <t>Standard response window</t>
        </is>
      </c>
      <c r="AA356" t="inlineStr">
        <is>
          <t>Specific card overrides general rules</t>
        </is>
      </c>
      <c r="AB356" t="inlineStr">
        <is>
          <t>Full card scan read; behaviour paraphrased (no card text copied)</t>
        </is>
      </c>
      <c r="AC356" t="inlineStr">
        <is>
          <t>FUNCTIONALLY COMPLETE</t>
        </is>
      </c>
      <c r="AD356" t="inlineStr">
        <is>
          <t>None</t>
        </is>
      </c>
      <c r="AE356" t="inlineStr">
        <is>
          <t>Card scan (GitHub: Cha0smagick/Virtual-Illuminati-New-World-order-INWO-game), read Sep 2026</t>
        </is>
      </c>
      <c r="AF356" t="inlineStr">
        <is>
          <t>N/A</t>
        </is>
      </c>
      <c r="AG356" t="inlineStr">
        <is>
          <t>N/A</t>
        </is>
      </c>
      <c r="AH356" t="inlineStr">
        <is>
          <t>N/A</t>
        </is>
      </c>
      <c r="AI356" t="inlineStr">
        <is>
          <t>N/A</t>
        </is>
      </c>
      <c r="AJ356" t="inlineStr">
        <is>
          <t>N/A</t>
        </is>
      </c>
      <c r="AK356" t="inlineStr">
        <is>
          <t>Official rules: non-Group card types do not use normal Group control-arrow geometry.</t>
        </is>
      </c>
    </row>
    <row r="357" ht="34" customHeight="1" s="16">
      <c r="A357" s="20" t="inlineStr">
        <is>
          <t>The Oregon Crud</t>
        </is>
      </c>
      <c r="B357" s="20" t="inlineStr">
        <is>
          <t>Plot</t>
        </is>
      </c>
      <c r="C357" s="20" t="inlineStr">
        <is>
          <t>Disaster</t>
        </is>
      </c>
      <c r="D357" s="20" t="inlineStr">
        <is>
          <t>Rare</t>
        </is>
      </c>
      <c r="E357" s="20" t="inlineStr">
        <is>
          <t>24</t>
        </is>
      </c>
      <c r="F357" s="20" t="str"/>
      <c r="G357" s="20" t="str"/>
      <c r="H357" s="20" t="str"/>
      <c r="I357" s="20" t="inlineStr">
        <is>
          <t>(errata applied) Disaster: an Instant Attack to Destroy any Place that is not Huge, usable any time without an action. Power 24. On success the target is Devastated; if the roll beats the target by 10 or more, it is destroyed outright.</t>
        </is>
      </c>
      <c r="J357" s="20" t="inlineStr">
        <is>
          <t>Needs rules-engine encoding</t>
        </is>
      </c>
      <c r="K357" s="20" t="inlineStr">
        <is>
          <t>High</t>
        </is>
      </c>
      <c r="L357" s="20" t="inlineStr">
        <is>
          <t>Printed card shows Power 10 and destruction when succeeding by more than 5; errata overrides to Power 24 and margin 10+. Errata '10+' read as margin of 10 or more.</t>
        </is>
      </c>
      <c r="M357" s="20" t="inlineStr">
        <is>
          <t>https://github.com/Cha0smagick/Virtual-Illuminati-New-World-order-INWO-game</t>
        </is>
      </c>
      <c r="N357" t="inlineStr">
        <is>
          <t>Play at any time (Instant Attack)</t>
        </is>
      </c>
      <c r="O357" t="inlineStr">
        <is>
          <t>Any Place except a Huge Place</t>
        </is>
      </c>
      <c r="P357" t="inlineStr">
        <is>
          <t>None</t>
        </is>
      </c>
      <c r="Q357" t="inlineStr">
        <is>
          <t>Immediate</t>
        </is>
      </c>
      <c r="R357" t="inlineStr">
        <is>
          <t>Attack to Destroy at Power 24; success = Devastated; success margin 10+ = destroyed</t>
        </is>
      </c>
      <c r="S357" t="inlineStr">
        <is>
          <t>NO</t>
        </is>
      </c>
      <c r="T357" t="inlineStr">
        <is>
          <t>N/A</t>
        </is>
      </c>
      <c r="U357" t="inlineStr">
        <is>
          <t>N/A</t>
        </is>
      </c>
      <c r="V357" t="inlineStr">
        <is>
          <t>N/A — INWO uses Plots instead of group income/money</t>
        </is>
      </c>
      <c r="W357" t="inlineStr">
        <is>
          <t>N/A</t>
        </is>
      </c>
      <c r="X357" t="inlineStr">
        <is>
          <t>No card-specific limit (base duplicate rules apply)</t>
        </is>
      </c>
      <c r="Y357" t="inlineStr">
        <is>
          <t>Target must be a non-Huge Place</t>
        </is>
      </c>
      <c r="Z357" t="inlineStr">
        <is>
          <t>Standard response window</t>
        </is>
      </c>
      <c r="AA357" t="inlineStr">
        <is>
          <t>Specific card overrides general rules</t>
        </is>
      </c>
      <c r="AB357" t="inlineStr">
        <is>
          <t>Full card scan read; behaviour paraphrased (no card text copied)</t>
        </is>
      </c>
      <c r="AC357" t="inlineStr">
        <is>
          <t>FUNCTIONALLY COMPLETE</t>
        </is>
      </c>
      <c r="AD357" t="inlineStr">
        <is>
          <t>None</t>
        </is>
      </c>
      <c r="AE357" t="inlineStr">
        <is>
          <t>Card scan (GitHub: Cha0smagick/Virtual-Illuminati-New-World-order-INWO-game), read Sep 2026</t>
        </is>
      </c>
      <c r="AF357" t="inlineStr">
        <is>
          <t>N/A</t>
        </is>
      </c>
      <c r="AG357" t="inlineStr">
        <is>
          <t>N/A</t>
        </is>
      </c>
      <c r="AH357" t="inlineStr">
        <is>
          <t>N/A</t>
        </is>
      </c>
      <c r="AI357" t="inlineStr">
        <is>
          <t>N/A</t>
        </is>
      </c>
      <c r="AJ357" t="inlineStr">
        <is>
          <t>N/A</t>
        </is>
      </c>
      <c r="AK357" t="inlineStr">
        <is>
          <t>Official rules: non-Group card types do not use normal Group control-arrow geometry.</t>
        </is>
      </c>
    </row>
    <row r="358" ht="34" customHeight="1" s="16">
      <c r="A358" s="20" t="inlineStr">
        <is>
          <t>The Second Bullet</t>
        </is>
      </c>
      <c r="B358" s="20" t="inlineStr">
        <is>
          <t>Plot</t>
        </is>
      </c>
      <c r="C358" s="20" t="inlineStr">
        <is>
          <t>Plot</t>
        </is>
      </c>
      <c r="D358" s="20" t="inlineStr">
        <is>
          <t>Common</t>
        </is>
      </c>
      <c r="E358" s="20" t="str"/>
      <c r="F358" s="20" t="str"/>
      <c r="G358" s="20" t="str"/>
      <c r="H358" s="20" t="str"/>
      <c r="I358" s="20" t="inlineStr">
        <is>
          <t>Played right after one of your own attacks to destroy fails its roll. Any of your groups that still hold unspent Action tokens and could legally have joined that attack may spend their actions to add as much Power as needed to turn the failure into a success.</t>
        </is>
      </c>
      <c r="J358" s="20" t="inlineStr">
        <is>
          <t>Needs rules-engine encoding</t>
        </is>
      </c>
      <c r="K358" s="20" t="inlineStr">
        <is>
          <t>High</t>
        </is>
      </c>
      <c r="L358" s="20" t="inlineStr">
        <is>
          <t>Card does not say how much Power each group adds; implied that contributing groups add their Power (as when aiding) until the attack succeeds.</t>
        </is>
      </c>
      <c r="M358" s="20" t="inlineStr">
        <is>
          <t>https://github.com/Cha0smagick/Virtual-Illuminati-New-World-order-INWO-game</t>
        </is>
      </c>
      <c r="N358" t="inlineStr">
        <is>
          <t>Right after your roll for an Attack to Destroy fails</t>
        </is>
      </c>
      <c r="O358" t="inlineStr">
        <is>
          <t>Your own just-failed Attack to Destroy</t>
        </is>
      </c>
      <c r="P358" t="inlineStr">
        <is>
          <t>Actions of one or more of your eligible groups that still have Action tokens</t>
        </is>
      </c>
      <c r="Q358" t="inlineStr">
        <is>
          <t>Immediate</t>
        </is>
      </c>
      <c r="R358" t="inlineStr">
        <is>
          <t>Failed Attack to Destroy converted to success by adding Power from eligible unspent groups (spend their actions)</t>
        </is>
      </c>
      <c r="S358" t="inlineStr">
        <is>
          <t>NO</t>
        </is>
      </c>
      <c r="T358" t="inlineStr">
        <is>
          <t>N/A</t>
        </is>
      </c>
      <c r="U358" t="inlineStr">
        <is>
          <t>N/A</t>
        </is>
      </c>
      <c r="V358" t="inlineStr">
        <is>
          <t>N/A — INWO uses Plots instead of group income/money</t>
        </is>
      </c>
      <c r="W358" t="inlineStr">
        <is>
          <t>N/A</t>
        </is>
      </c>
      <c r="X358" t="inlineStr">
        <is>
          <t>No card-specific limit (base duplicate rules apply)</t>
        </is>
      </c>
      <c r="Y358" t="inlineStr">
        <is>
          <t>You must have just failed an Attack to Destroy roll; contributing groups must have Action tokens left and have been eligible to aid that attack</t>
        </is>
      </c>
      <c r="Z358" t="inlineStr">
        <is>
          <t>Standard response window</t>
        </is>
      </c>
      <c r="AA358" t="inlineStr">
        <is>
          <t>Specific card overrides general rules</t>
        </is>
      </c>
      <c r="AB358" t="inlineStr">
        <is>
          <t>Full card scan read; behaviour paraphrased (no card text copied)</t>
        </is>
      </c>
      <c r="AC358" t="inlineStr">
        <is>
          <t>FUNCTIONALLY COMPLETE</t>
        </is>
      </c>
      <c r="AD358" t="inlineStr">
        <is>
          <t>None</t>
        </is>
      </c>
      <c r="AE358" t="inlineStr">
        <is>
          <t>Card scan (GitHub: Cha0smagick/Virtual-Illuminati-New-World-order-INWO-game), read Sep 2026</t>
        </is>
      </c>
      <c r="AF358" t="inlineStr">
        <is>
          <t>N/A</t>
        </is>
      </c>
      <c r="AG358" t="inlineStr">
        <is>
          <t>N/A</t>
        </is>
      </c>
      <c r="AH358" t="inlineStr">
        <is>
          <t>N/A</t>
        </is>
      </c>
      <c r="AI358" t="inlineStr">
        <is>
          <t>N/A</t>
        </is>
      </c>
      <c r="AJ358" t="inlineStr">
        <is>
          <t>N/A</t>
        </is>
      </c>
      <c r="AK358" t="inlineStr">
        <is>
          <t>Official rules: non-Group card types do not use normal Group control-arrow geometry.</t>
        </is>
      </c>
    </row>
    <row r="359" ht="34" customHeight="1" s="16">
      <c r="A359" s="20" t="inlineStr">
        <is>
          <t>The Stars Are Right</t>
        </is>
      </c>
      <c r="B359" s="20" t="inlineStr">
        <is>
          <t>Plot</t>
        </is>
      </c>
      <c r="C359" s="20" t="inlineStr">
        <is>
          <t>Plot</t>
        </is>
      </c>
      <c r="D359" s="20" t="inlineStr">
        <is>
          <t>Rare</t>
        </is>
      </c>
      <c r="E359" s="20" t="str"/>
      <c r="F359" s="20" t="str"/>
      <c r="G359" s="20" t="str"/>
      <c r="H359" s="20" t="str"/>
      <c r="I359" s="20" t="inlineStr">
        <is>
          <t>During your turn, pay with your Illuminati's action or with the action(s) of Magic groups of Power 4+ to put one Resource from your hand into play as an automatic takeover (no roll).</t>
        </is>
      </c>
      <c r="J359" s="20" t="inlineStr">
        <is>
          <t>Needs rules-engine encoding</t>
        </is>
      </c>
      <c r="K359" s="20" t="inlineStr">
        <is>
          <t>High</t>
        </is>
      </c>
      <c r="L359" s="20" t="inlineStr">
        <is>
          <t>Ambiguous whether several Magic groups may pool Power to reach 4. Taken literally, every Magic group used must have Power 4 or more on its own.</t>
        </is>
      </c>
      <c r="M359" s="20" t="inlineStr">
        <is>
          <t>https://github.com/Cha0smagick/Virtual-Illuminati-New-World-order-INWO-game</t>
        </is>
      </c>
      <c r="N359" t="inlineStr">
        <is>
          <t>Your turn</t>
        </is>
      </c>
      <c r="O359" t="inlineStr">
        <is>
          <t>One Resource card in your hand</t>
        </is>
      </c>
      <c r="P359" t="inlineStr">
        <is>
          <t>Illuminati action, or action(s) of Magic group(s) with Power at least 4</t>
        </is>
      </c>
      <c r="Q359" t="inlineStr">
        <is>
          <t>Immediate</t>
        </is>
      </c>
      <c r="R359" t="inlineStr">
        <is>
          <t>Automatic takeover of 1 Resource from hand</t>
        </is>
      </c>
      <c r="S359" t="inlineStr">
        <is>
          <t>NO</t>
        </is>
      </c>
      <c r="T359" t="inlineStr">
        <is>
          <t>N/A</t>
        </is>
      </c>
      <c r="U359" t="inlineStr">
        <is>
          <t>N/A</t>
        </is>
      </c>
      <c r="V359" t="inlineStr">
        <is>
          <t>N/A — INWO uses Plots instead of group income/money</t>
        </is>
      </c>
      <c r="W359" t="inlineStr">
        <is>
          <t>N/A</t>
        </is>
      </c>
      <c r="X359" t="inlineStr">
        <is>
          <t>No card-specific limit (base duplicate rules apply)</t>
        </is>
      </c>
      <c r="Y359" t="inlineStr">
        <is>
          <t>Your turn; requires Magic or Illuminati action; Magic group(s) used must have Power 4+</t>
        </is>
      </c>
      <c r="Z359" t="inlineStr">
        <is>
          <t>Standard response window</t>
        </is>
      </c>
      <c r="AA359" t="inlineStr">
        <is>
          <t>Specific card overrides general rules</t>
        </is>
      </c>
      <c r="AB359" t="inlineStr">
        <is>
          <t>Full card scan read; behaviour paraphrased (no card text copied)</t>
        </is>
      </c>
      <c r="AC359" t="inlineStr">
        <is>
          <t>FUNCTIONALLY COMPLETE</t>
        </is>
      </c>
      <c r="AD359" t="inlineStr">
        <is>
          <t>None</t>
        </is>
      </c>
      <c r="AE359" t="inlineStr">
        <is>
          <t>Card scan (GitHub: Cha0smagick/Virtual-Illuminati-New-World-order-INWO-game), read Sep 2026</t>
        </is>
      </c>
      <c r="AF359" t="inlineStr">
        <is>
          <t>N/A</t>
        </is>
      </c>
      <c r="AG359" t="inlineStr">
        <is>
          <t>N/A</t>
        </is>
      </c>
      <c r="AH359" t="inlineStr">
        <is>
          <t>N/A</t>
        </is>
      </c>
      <c r="AI359" t="inlineStr">
        <is>
          <t>N/A</t>
        </is>
      </c>
      <c r="AJ359" t="inlineStr">
        <is>
          <t>N/A</t>
        </is>
      </c>
      <c r="AK359" t="inlineStr">
        <is>
          <t>Official rules: non-Group card types do not use normal Group control-arrow geometry.</t>
        </is>
      </c>
    </row>
    <row r="360" ht="34" customHeight="1" s="16">
      <c r="A360" s="20" t="inlineStr">
        <is>
          <t>The Weak Link</t>
        </is>
      </c>
      <c r="B360" s="20" t="inlineStr">
        <is>
          <t>Plot</t>
        </is>
      </c>
      <c r="C360" s="20" t="inlineStr">
        <is>
          <t>Plot</t>
        </is>
      </c>
      <c r="D360" s="20" t="inlineStr">
        <is>
          <t>Rare</t>
        </is>
      </c>
      <c r="E360" s="20" t="str"/>
      <c r="F360" s="20" t="str"/>
      <c r="G360" s="20" t="str"/>
      <c r="H360" s="20" t="str"/>
      <c r="I360" s="20" t="inlineStr">
        <is>
          <t>Destroy an Artifact or Gadget Resource belonging to a rival and discard it. Playable anytime except in a privileged attack. Costs your Illuminati's action, or actions of Science, Magic and/or Computer groups totalling Power 6+.</t>
        </is>
      </c>
      <c r="J360" s="20" t="inlineStr">
        <is>
          <t>Needs rules-engine encoding</t>
        </is>
      </c>
      <c r="K360" s="20" t="inlineStr">
        <is>
          <t>High</t>
        </is>
      </c>
      <c r="L360" s="20" t="str"/>
      <c r="M360" s="20" t="inlineStr">
        <is>
          <t>https://github.com/Cha0smagick/Virtual-Illuminati-New-World-order-INWO-game</t>
        </is>
      </c>
      <c r="N360" t="inlineStr">
        <is>
          <t>Any time except during a privileged attack</t>
        </is>
      </c>
      <c r="O360" t="inlineStr">
        <is>
          <t>One Artifact or Gadget Resource owned by a rival</t>
        </is>
      </c>
      <c r="P360" t="inlineStr">
        <is>
          <t>Illuminati action, or actions of Science/Magic/Computer groups with combined Power 6+</t>
        </is>
      </c>
      <c r="Q360" t="inlineStr">
        <is>
          <t>Immediate</t>
        </is>
      </c>
      <c r="R360" t="inlineStr">
        <is>
          <t>Target Resource destroyed and discarded</t>
        </is>
      </c>
      <c r="S360" t="inlineStr">
        <is>
          <t>NO</t>
        </is>
      </c>
      <c r="T360" t="inlineStr">
        <is>
          <t>N/A</t>
        </is>
      </c>
      <c r="U360" t="inlineStr">
        <is>
          <t>N/A</t>
        </is>
      </c>
      <c r="V360" t="inlineStr">
        <is>
          <t>N/A — INWO uses Plots instead of group income/money</t>
        </is>
      </c>
      <c r="W360" t="inlineStr">
        <is>
          <t>N/A</t>
        </is>
      </c>
      <c r="X360" t="inlineStr">
        <is>
          <t>No card-specific limit (base duplicate rules apply)</t>
        </is>
      </c>
      <c r="Y360" t="inlineStr">
        <is>
          <t>Requires Science, Magic, Computer, or Illuminati action; groups used must total Power 6+; not during a privileged attack</t>
        </is>
      </c>
      <c r="Z360" t="inlineStr">
        <is>
          <t>Standard response window</t>
        </is>
      </c>
      <c r="AA360" t="inlineStr">
        <is>
          <t>Specific card overrides general rules</t>
        </is>
      </c>
      <c r="AB360" t="inlineStr">
        <is>
          <t>Full card scan read; behaviour paraphrased (no card text copied)</t>
        </is>
      </c>
      <c r="AC360" t="inlineStr">
        <is>
          <t>FUNCTIONALLY COMPLETE</t>
        </is>
      </c>
      <c r="AD360" t="inlineStr">
        <is>
          <t>None</t>
        </is>
      </c>
      <c r="AE360" t="inlineStr">
        <is>
          <t>Card scan (GitHub: Cha0smagick/Virtual-Illuminati-New-World-order-INWO-game), read Sep 2026</t>
        </is>
      </c>
      <c r="AF360" t="inlineStr">
        <is>
          <t>N/A</t>
        </is>
      </c>
      <c r="AG360" t="inlineStr">
        <is>
          <t>N/A</t>
        </is>
      </c>
      <c r="AH360" t="inlineStr">
        <is>
          <t>N/A</t>
        </is>
      </c>
      <c r="AI360" t="inlineStr">
        <is>
          <t>N/A</t>
        </is>
      </c>
      <c r="AJ360" t="inlineStr">
        <is>
          <t>N/A</t>
        </is>
      </c>
      <c r="AK360" t="inlineStr">
        <is>
          <t>Official rules: non-Group card types do not use normal Group control-arrow geometry.</t>
        </is>
      </c>
    </row>
    <row r="361" ht="34" customHeight="1" s="16">
      <c r="A361" s="20" t="inlineStr">
        <is>
          <t>The Weird Turn Pro</t>
        </is>
      </c>
      <c r="B361" s="20" t="inlineStr">
        <is>
          <t>Plot</t>
        </is>
      </c>
      <c r="C361" s="20" t="inlineStr">
        <is>
          <t>Plot</t>
        </is>
      </c>
      <c r="D361" s="20" t="inlineStr">
        <is>
          <t>Common</t>
        </is>
      </c>
      <c r="E361" s="20" t="str"/>
      <c r="F361" s="20" t="str"/>
      <c r="G361" s="20" t="str"/>
      <c r="H361" s="20" t="str"/>
      <c r="I361" s="20" t="inlineStr">
        <is>
          <t>Play at any time; it uses the action of the Weird group it targets. That group's Power becomes 4 at once, and this card is linked to it. Each player may have only a single The Weird Turn Pro in play.</t>
        </is>
      </c>
      <c r="J361" s="20" t="inlineStr">
        <is>
          <t>Needs rules-engine encoding</t>
        </is>
      </c>
      <c r="K361" s="20" t="inlineStr">
        <is>
          <t>High</t>
        </is>
      </c>
      <c r="L361" s="20" t="inlineStr">
        <is>
          <t>Card says Power is 'increased to 4'; engine should treat as setting base Power to 4 (presumably only meaningful when current Power is below 4). Card does not explicitly restrict to your own group, but it consumes that group's action.</t>
        </is>
      </c>
      <c r="M361" s="20" t="inlineStr">
        <is>
          <t>https://github.com/Cha0smagick/Virtual-Illuminati-New-World-order-INWO-game</t>
        </is>
      </c>
      <c r="N361" t="inlineStr">
        <is>
          <t>Any time</t>
        </is>
      </c>
      <c r="O361" t="inlineStr">
        <is>
          <t>One Weird group (implicitly your own, since the card links to it and uses its action)</t>
        </is>
      </c>
      <c r="P361" t="inlineStr">
        <is>
          <t>Action of the affected Weird group</t>
        </is>
      </c>
      <c r="Q361" t="inlineStr">
        <is>
          <t>Permanent while linked</t>
        </is>
      </c>
      <c r="R361" t="inlineStr">
        <is>
          <t>Target Weird group's Power set to 4 (increased to 4); card links to the group</t>
        </is>
      </c>
      <c r="S361" t="inlineStr">
        <is>
          <t>NO</t>
        </is>
      </c>
      <c r="T361" t="inlineStr">
        <is>
          <t>N/A</t>
        </is>
      </c>
      <c r="U361" t="inlineStr">
        <is>
          <t>N/A</t>
        </is>
      </c>
      <c r="V361" t="inlineStr">
        <is>
          <t>N/A — INWO uses Plots instead of group income/money</t>
        </is>
      </c>
      <c r="W361" t="inlineStr">
        <is>
          <t>N/A</t>
        </is>
      </c>
      <c r="X361" t="inlineStr">
        <is>
          <t>Limit per player: a single copy on the table</t>
        </is>
      </c>
      <c r="Y361" t="inlineStr">
        <is>
          <t>Target must be a Weird group with an available action</t>
        </is>
      </c>
      <c r="Z361" t="inlineStr">
        <is>
          <t>Standard response window</t>
        </is>
      </c>
      <c r="AA361" t="inlineStr">
        <is>
          <t>Specific card overrides general rules</t>
        </is>
      </c>
      <c r="AB361" t="inlineStr">
        <is>
          <t>Full card scan read; behaviour paraphrased (no card text copied)</t>
        </is>
      </c>
      <c r="AC361" t="inlineStr">
        <is>
          <t>FUNCTIONALLY COMPLETE</t>
        </is>
      </c>
      <c r="AD361" t="inlineStr">
        <is>
          <t>None</t>
        </is>
      </c>
      <c r="AE361" t="inlineStr">
        <is>
          <t>Card scan (GitHub: Cha0smagick/Virtual-Illuminati-New-World-order-INWO-game), read Sep 2026</t>
        </is>
      </c>
      <c r="AF361" t="inlineStr">
        <is>
          <t>N/A</t>
        </is>
      </c>
      <c r="AG361" t="inlineStr">
        <is>
          <t>N/A</t>
        </is>
      </c>
      <c r="AH361" t="inlineStr">
        <is>
          <t>N/A</t>
        </is>
      </c>
      <c r="AI361" t="inlineStr">
        <is>
          <t>N/A</t>
        </is>
      </c>
      <c r="AJ361" t="inlineStr">
        <is>
          <t>N/A</t>
        </is>
      </c>
      <c r="AK361" t="inlineStr">
        <is>
          <t>Official rules: non-Group card types do not use normal Group control-arrow geometry.</t>
        </is>
      </c>
    </row>
    <row r="362" ht="34" customHeight="1" s="16">
      <c r="A362" s="20" t="inlineStr">
        <is>
          <t>Tidal Wave</t>
        </is>
      </c>
      <c r="B362" s="20" t="inlineStr">
        <is>
          <t>Plot</t>
        </is>
      </c>
      <c r="C362" s="20" t="inlineStr">
        <is>
          <t>Disaster</t>
        </is>
      </c>
      <c r="D362" s="20" t="inlineStr">
        <is>
          <t>Common</t>
        </is>
      </c>
      <c r="E362" s="20" t="inlineStr">
        <is>
          <t>24</t>
        </is>
      </c>
      <c r="F362" s="20" t="str"/>
      <c r="G362" s="20" t="str"/>
      <c r="H362" s="20" t="str"/>
      <c r="I362" s="20" t="inlineStr">
        <is>
          <t>Disaster. Instant Attack to Destroy a Coastal Place; no action needed. Attack Power 20 versus a Huge Place and 24 versus other Places. A success Devastates the target; beating the needed roll by more than 10 destroys it instead.</t>
        </is>
      </c>
      <c r="J362" s="20" t="inlineStr">
        <is>
          <t>Needs rules-engine encoding</t>
        </is>
      </c>
      <c r="K362" s="20" t="inlineStr">
        <is>
          <t>High</t>
        </is>
      </c>
      <c r="L362" s="20" t="inlineStr">
        <is>
          <t>Power is 20 vs Huge Coastal Places, 24 vs all other Coastal Places.</t>
        </is>
      </c>
      <c r="M362" s="20" t="inlineStr">
        <is>
          <t>https://github.com/Cha0smagick/Virtual-Illuminati-New-World-order-INWO-game</t>
        </is>
      </c>
      <c r="N362" t="inlineStr">
        <is>
          <t>Any time (Instant Attack; Disaster)</t>
        </is>
      </c>
      <c r="O362" t="inlineStr">
        <is>
          <t>Any Coastal Place</t>
        </is>
      </c>
      <c r="P362" t="inlineStr">
        <is>
          <t>None (does not require an action)</t>
        </is>
      </c>
      <c r="Q362" t="inlineStr">
        <is>
          <t>Immediate</t>
        </is>
      </c>
      <c r="R362" t="inlineStr">
        <is>
          <t>Attack to Destroy at Power 20 (Huge) / 24 (other); success = Devastated; success margin &gt;10 = destroyed</t>
        </is>
      </c>
      <c r="S362" t="inlineStr">
        <is>
          <t>NO</t>
        </is>
      </c>
      <c r="T362" t="inlineStr">
        <is>
          <t>N/A</t>
        </is>
      </c>
      <c r="U362" t="inlineStr">
        <is>
          <t>N/A</t>
        </is>
      </c>
      <c r="V362" t="inlineStr">
        <is>
          <t>N/A — INWO uses Plots instead of group income/money</t>
        </is>
      </c>
      <c r="W362" t="inlineStr">
        <is>
          <t>N/A</t>
        </is>
      </c>
      <c r="X362" t="inlineStr">
        <is>
          <t>No card-specific limit (base duplicate rules apply)</t>
        </is>
      </c>
      <c r="Y362" t="inlineStr">
        <is>
          <t>None beyond base rules</t>
        </is>
      </c>
      <c r="Z362" t="inlineStr">
        <is>
          <t>Standard response window</t>
        </is>
      </c>
      <c r="AA362" t="inlineStr">
        <is>
          <t>Specific card overrides general rules</t>
        </is>
      </c>
      <c r="AB362" t="inlineStr">
        <is>
          <t>Full card scan read; behaviour paraphrased (no card text copied)</t>
        </is>
      </c>
      <c r="AC362" t="inlineStr">
        <is>
          <t>FUNCTIONALLY COMPLETE</t>
        </is>
      </c>
      <c r="AD362" t="inlineStr">
        <is>
          <t>None</t>
        </is>
      </c>
      <c r="AE362" t="inlineStr">
        <is>
          <t>Card scan (GitHub: Cha0smagick/Virtual-Illuminati-New-World-order-INWO-game), read Sep 2026</t>
        </is>
      </c>
      <c r="AF362" t="inlineStr">
        <is>
          <t>N/A</t>
        </is>
      </c>
      <c r="AG362" t="inlineStr">
        <is>
          <t>N/A</t>
        </is>
      </c>
      <c r="AH362" t="inlineStr">
        <is>
          <t>N/A</t>
        </is>
      </c>
      <c r="AI362" t="inlineStr">
        <is>
          <t>N/A</t>
        </is>
      </c>
      <c r="AJ362" t="inlineStr">
        <is>
          <t>N/A</t>
        </is>
      </c>
      <c r="AK362" t="inlineStr">
        <is>
          <t>Official rules: non-Group card types do not use normal Group control-arrow geometry.</t>
        </is>
      </c>
    </row>
    <row r="363" ht="34" customHeight="1" s="16">
      <c r="A363" s="20" t="inlineStr">
        <is>
          <t>Time Warp</t>
        </is>
      </c>
      <c r="B363" s="20" t="inlineStr">
        <is>
          <t>Plot</t>
        </is>
      </c>
      <c r="C363" s="20" t="inlineStr">
        <is>
          <t>Plot</t>
        </is>
      </c>
      <c r="D363" s="20" t="inlineStr">
        <is>
          <t>Rare</t>
        </is>
      </c>
      <c r="E363" s="20" t="str"/>
      <c r="F363" s="20" t="str"/>
      <c r="G363" s="20" t="str"/>
      <c r="H363" s="20" t="str"/>
      <c r="I363" s="20" t="inlineStr">
        <is>
          <t>Play right after another player rolls a success: he must reroll and keep the new result, but he also draws a Group card.</t>
        </is>
      </c>
      <c r="J363" s="20" t="inlineStr">
        <is>
          <t>Needs rules-engine encoding</t>
        </is>
      </c>
      <c r="K363" s="20" t="inlineStr">
        <is>
          <t>High</t>
        </is>
      </c>
      <c r="L363" s="20" t="str"/>
      <c r="M363" s="20" t="inlineStr">
        <is>
          <t>https://github.com/Cha0smagick/Virtual-Illuminati-New-World-order-INWO-game</t>
        </is>
      </c>
      <c r="N363" t="inlineStr">
        <is>
          <t>Right after another player rolls a success</t>
        </is>
      </c>
      <c r="O363" t="inlineStr">
        <is>
          <t>The player who made the successful roll</t>
        </is>
      </c>
      <c r="P363" t="inlineStr">
        <is>
          <t>None</t>
        </is>
      </c>
      <c r="Q363" t="inlineStr">
        <is>
          <t>Immediate</t>
        </is>
      </c>
      <c r="R363" t="inlineStr">
        <is>
          <t>Force reroll of opponent's successful roll; that player draws 1 Group card</t>
        </is>
      </c>
      <c r="S363" t="inlineStr">
        <is>
          <t>NO</t>
        </is>
      </c>
      <c r="T363" t="inlineStr">
        <is>
          <t>N/A</t>
        </is>
      </c>
      <c r="U363" t="inlineStr">
        <is>
          <t>N/A</t>
        </is>
      </c>
      <c r="V363" t="inlineStr">
        <is>
          <t>N/A — INWO uses Plots instead of group income/money</t>
        </is>
      </c>
      <c r="W363" t="inlineStr">
        <is>
          <t>N/A</t>
        </is>
      </c>
      <c r="X363" t="inlineStr">
        <is>
          <t>No card-specific limit (base duplicate rules apply)</t>
        </is>
      </c>
      <c r="Y363" t="inlineStr">
        <is>
          <t>Another player must have just made a successful die roll</t>
        </is>
      </c>
      <c r="Z363" t="inlineStr">
        <is>
          <t>Standard response window</t>
        </is>
      </c>
      <c r="AA363" t="inlineStr">
        <is>
          <t>Specific card overrides general rules</t>
        </is>
      </c>
      <c r="AB363" t="inlineStr">
        <is>
          <t>Full card scan read; behaviour paraphrased (no card text copied)</t>
        </is>
      </c>
      <c r="AC363" t="inlineStr">
        <is>
          <t>FUNCTIONALLY COMPLETE</t>
        </is>
      </c>
      <c r="AD363" t="inlineStr">
        <is>
          <t>None</t>
        </is>
      </c>
      <c r="AE363" t="inlineStr">
        <is>
          <t>Card scan (GitHub: Cha0smagick/Virtual-Illuminati-New-World-order-INWO-game), read Sep 2026</t>
        </is>
      </c>
      <c r="AF363" t="inlineStr">
        <is>
          <t>N/A</t>
        </is>
      </c>
      <c r="AG363" t="inlineStr">
        <is>
          <t>N/A</t>
        </is>
      </c>
      <c r="AH363" t="inlineStr">
        <is>
          <t>N/A</t>
        </is>
      </c>
      <c r="AI363" t="inlineStr">
        <is>
          <t>N/A</t>
        </is>
      </c>
      <c r="AJ363" t="inlineStr">
        <is>
          <t>N/A</t>
        </is>
      </c>
      <c r="AK363" t="inlineStr">
        <is>
          <t>Official rules: non-Group card types do not use normal Group control-arrow geometry.</t>
        </is>
      </c>
    </row>
    <row r="364" ht="34" customHeight="1" s="16">
      <c r="A364" s="20" t="inlineStr">
        <is>
          <t>Tornado</t>
        </is>
      </c>
      <c r="B364" s="20" t="inlineStr">
        <is>
          <t>Plot</t>
        </is>
      </c>
      <c r="C364" s="20" t="inlineStr">
        <is>
          <t>Disaster</t>
        </is>
      </c>
      <c r="D364" s="20" t="inlineStr">
        <is>
          <t>Common</t>
        </is>
      </c>
      <c r="E364" s="20" t="inlineStr">
        <is>
          <t>12</t>
        </is>
      </c>
      <c r="F364" s="20" t="str"/>
      <c r="G364" s="20" t="str"/>
      <c r="H364" s="20" t="str"/>
      <c r="I364" s="20" t="inlineStr">
        <is>
          <t>Disaster. Instant Attack to Destroy a Place that is not Huge; no action needed; Attack Power 12. A success Devastates the target; beating the needed roll by more than 4 destroys it.</t>
        </is>
      </c>
      <c r="J364" s="20" t="inlineStr">
        <is>
          <t>Needs rules-engine encoding</t>
        </is>
      </c>
      <c r="K364" s="20" t="inlineStr">
        <is>
          <t>High</t>
        </is>
      </c>
      <c r="L364" s="20" t="str"/>
      <c r="M364" s="20" t="inlineStr">
        <is>
          <t>https://github.com/Cha0smagick/Virtual-Illuminati-New-World-order-INWO-game</t>
        </is>
      </c>
      <c r="N364" t="inlineStr">
        <is>
          <t>Any time (Instant Attack; Disaster)</t>
        </is>
      </c>
      <c r="O364" t="inlineStr">
        <is>
          <t>Any non-Huge Place</t>
        </is>
      </c>
      <c r="P364" t="inlineStr">
        <is>
          <t>None (does not require an action)</t>
        </is>
      </c>
      <c r="Q364" t="inlineStr">
        <is>
          <t>Immediate</t>
        </is>
      </c>
      <c r="R364" t="inlineStr">
        <is>
          <t>Attack to Destroy at Power 12; success = Devastated; success margin &gt;4 = destroyed</t>
        </is>
      </c>
      <c r="S364" t="inlineStr">
        <is>
          <t>NO</t>
        </is>
      </c>
      <c r="T364" t="inlineStr">
        <is>
          <t>N/A</t>
        </is>
      </c>
      <c r="U364" t="inlineStr">
        <is>
          <t>N/A</t>
        </is>
      </c>
      <c r="V364" t="inlineStr">
        <is>
          <t>N/A — INWO uses Plots instead of group income/money</t>
        </is>
      </c>
      <c r="W364" t="inlineStr">
        <is>
          <t>N/A</t>
        </is>
      </c>
      <c r="X364" t="inlineStr">
        <is>
          <t>No card-specific limit (base duplicate rules apply)</t>
        </is>
      </c>
      <c r="Y364" t="inlineStr">
        <is>
          <t>None beyond base rules</t>
        </is>
      </c>
      <c r="Z364" t="inlineStr">
        <is>
          <t>Standard response window</t>
        </is>
      </c>
      <c r="AA364" t="inlineStr">
        <is>
          <t>Specific card overrides general rules</t>
        </is>
      </c>
      <c r="AB364" t="inlineStr">
        <is>
          <t>Full card scan read; behaviour paraphrased (no card text copied)</t>
        </is>
      </c>
      <c r="AC364" t="inlineStr">
        <is>
          <t>FUNCTIONALLY COMPLETE</t>
        </is>
      </c>
      <c r="AD364" t="inlineStr">
        <is>
          <t>None</t>
        </is>
      </c>
      <c r="AE364" t="inlineStr">
        <is>
          <t>Card scan (GitHub: Cha0smagick/Virtual-Illuminati-New-World-order-INWO-game), read Sep 2026</t>
        </is>
      </c>
      <c r="AF364" t="inlineStr">
        <is>
          <t>N/A</t>
        </is>
      </c>
      <c r="AG364" t="inlineStr">
        <is>
          <t>N/A</t>
        </is>
      </c>
      <c r="AH364" t="inlineStr">
        <is>
          <t>N/A</t>
        </is>
      </c>
      <c r="AI364" t="inlineStr">
        <is>
          <t>N/A</t>
        </is>
      </c>
      <c r="AJ364" t="inlineStr">
        <is>
          <t>N/A</t>
        </is>
      </c>
      <c r="AK364" t="inlineStr">
        <is>
          <t>Official rules: non-Group card types do not use normal Group control-arrow geometry.</t>
        </is>
      </c>
    </row>
    <row r="365" ht="34" customHeight="1" s="16">
      <c r="A365" s="20" t="inlineStr">
        <is>
          <t>Unlucky 13</t>
        </is>
      </c>
      <c r="B365" s="20" t="inlineStr">
        <is>
          <t>Plot</t>
        </is>
      </c>
      <c r="C365" s="20" t="inlineStr">
        <is>
          <t>Plot</t>
        </is>
      </c>
      <c r="D365" s="20" t="inlineStr">
        <is>
          <t>Rare</t>
        </is>
      </c>
      <c r="E365" s="20" t="str"/>
      <c r="F365" s="20" t="str"/>
      <c r="G365" s="20" t="str"/>
      <c r="H365" s="20" t="str"/>
      <c r="I365" s="20" t="inlineStr">
        <is>
          <t>Play on a rival at the very start of their turn, using an action from one of your Magic groups. That rival cannot draw any Plot cards, for any reason, until their current turn is over.</t>
        </is>
      </c>
      <c r="J365" s="20" t="inlineStr">
        <is>
          <t>Needs rules-engine encoding</t>
        </is>
      </c>
      <c r="K365" s="20" t="inlineStr">
        <is>
          <t>High</t>
        </is>
      </c>
      <c r="L365" s="20" t="str"/>
      <c r="M365" s="20" t="inlineStr">
        <is>
          <t>https://github.com/Cha0smagick/Virtual-Illuminati-New-World-order-INWO-game</t>
        </is>
      </c>
      <c r="N365" t="inlineStr">
        <is>
          <t>As a rival's turn starts, before anything else</t>
        </is>
      </c>
      <c r="O365" t="inlineStr">
        <is>
          <t>One rival player</t>
        </is>
      </c>
      <c r="P365" t="inlineStr">
        <is>
          <t>Action of a Magic group</t>
        </is>
      </c>
      <c r="Q365" t="inlineStr">
        <is>
          <t>Until end of the rival's current turn</t>
        </is>
      </c>
      <c r="R365" t="inlineStr">
        <is>
          <t>Target rival draws 0 Plot cards (all sources) this turn</t>
        </is>
      </c>
      <c r="S365" t="inlineStr">
        <is>
          <t>NO</t>
        </is>
      </c>
      <c r="T365" t="inlineStr">
        <is>
          <t>N/A</t>
        </is>
      </c>
      <c r="U365" t="inlineStr">
        <is>
          <t>N/A</t>
        </is>
      </c>
      <c r="V365" t="inlineStr">
        <is>
          <t>N/A — INWO uses Plots instead of group income/money</t>
        </is>
      </c>
      <c r="W365" t="inlineStr">
        <is>
          <t>N/A</t>
        </is>
      </c>
      <c r="X365" t="inlineStr">
        <is>
          <t>No card-specific limit (base duplicate rules apply)</t>
        </is>
      </c>
      <c r="Y365" t="inlineStr">
        <is>
          <t>Requires Magic action; must be played at the very beginning of the rival's turn</t>
        </is>
      </c>
      <c r="Z365" t="inlineStr">
        <is>
          <t>Standard response window</t>
        </is>
      </c>
      <c r="AA365" t="inlineStr">
        <is>
          <t>Specific card overrides general rules</t>
        </is>
      </c>
      <c r="AB365" t="inlineStr">
        <is>
          <t>Full card scan read; behaviour paraphrased (no card text copied)</t>
        </is>
      </c>
      <c r="AC365" t="inlineStr">
        <is>
          <t>FUNCTIONALLY COMPLETE</t>
        </is>
      </c>
      <c r="AD365" t="inlineStr">
        <is>
          <t>None</t>
        </is>
      </c>
      <c r="AE365" t="inlineStr">
        <is>
          <t>Card scan (GitHub: Cha0smagick/Virtual-Illuminati-New-World-order-INWO-game), read Sep 2026</t>
        </is>
      </c>
      <c r="AF365" t="inlineStr">
        <is>
          <t>N/A</t>
        </is>
      </c>
      <c r="AG365" t="inlineStr">
        <is>
          <t>N/A</t>
        </is>
      </c>
      <c r="AH365" t="inlineStr">
        <is>
          <t>N/A</t>
        </is>
      </c>
      <c r="AI365" t="inlineStr">
        <is>
          <t>N/A</t>
        </is>
      </c>
      <c r="AJ365" t="inlineStr">
        <is>
          <t>N/A</t>
        </is>
      </c>
      <c r="AK365" t="inlineStr">
        <is>
          <t>Official rules: non-Group card types do not use normal Group control-arrow geometry.</t>
        </is>
      </c>
    </row>
    <row r="366" ht="34" customHeight="1" s="16">
      <c r="A366" s="20" t="inlineStr">
        <is>
          <t>Unmasked!</t>
        </is>
      </c>
      <c r="B366" s="20" t="inlineStr">
        <is>
          <t>Plot</t>
        </is>
      </c>
      <c r="C366" s="20" t="inlineStr">
        <is>
          <t>Plot</t>
        </is>
      </c>
      <c r="D366" s="20" t="inlineStr">
        <is>
          <t>Rare</t>
        </is>
      </c>
      <c r="E366" s="20" t="str"/>
      <c r="F366" s="20" t="str"/>
      <c r="G366" s="20" t="str"/>
      <c r="H366" s="20" t="str"/>
      <c r="I366" s="20" t="inlineStr">
        <is>
          <t>Played at any time outside an attack, together with an Illuminati card from your hand. The new Illuminati replaces your current one (new powers and goals) and the old Illuminati card is discarded. If you already held an Agents card for the new Illuminati type, that Agents card is lost.</t>
        </is>
      </c>
      <c r="J366" s="20" t="inlineStr">
        <is>
          <t>Needs rules-engine encoding</t>
        </is>
      </c>
      <c r="K366" s="20" t="inlineStr">
        <is>
          <t>High</t>
        </is>
      </c>
      <c r="L366" s="20" t="inlineStr">
        <is>
          <t>Card does not specify what happens to the Power Structure; presumably it stays attached to the new Illuminati.</t>
        </is>
      </c>
      <c r="M366" s="20" t="inlineStr">
        <is>
          <t>https://github.com/Cha0smagick/Virtual-Illuminati-New-World-order-INWO-game</t>
        </is>
      </c>
      <c r="N366" t="inlineStr">
        <is>
          <t>Any time except during an attack (limit in this version)</t>
        </is>
      </c>
      <c r="O366" t="inlineStr">
        <is>
          <t>Your own Illuminati</t>
        </is>
      </c>
      <c r="P366" t="inlineStr">
        <is>
          <t>An Illuminati card from your hand</t>
        </is>
      </c>
      <c r="Q366" t="inlineStr">
        <is>
          <t>Permanent</t>
        </is>
      </c>
      <c r="R366" t="inlineStr">
        <is>
          <t>Replace your Illuminati with one from hand; discard old; lose any Agents card matching the new Illuminati</t>
        </is>
      </c>
      <c r="S366" t="inlineStr">
        <is>
          <t>NO</t>
        </is>
      </c>
      <c r="T366" t="inlineStr">
        <is>
          <t>N/A</t>
        </is>
      </c>
      <c r="U366" t="inlineStr">
        <is>
          <t>N/A</t>
        </is>
      </c>
      <c r="V366" t="inlineStr">
        <is>
          <t>N/A — INWO uses Plots instead of group income/money</t>
        </is>
      </c>
      <c r="W366" t="inlineStr">
        <is>
          <t>N/A</t>
        </is>
      </c>
      <c r="X366" t="inlineStr">
        <is>
          <t>No card-specific limit (base duplicate rules apply)</t>
        </is>
      </c>
      <c r="Y366" t="inlineStr">
        <is>
          <t>You must have an Illuminati card in hand</t>
        </is>
      </c>
      <c r="Z366" t="inlineStr">
        <is>
          <t>Standard response window</t>
        </is>
      </c>
      <c r="AA366" t="inlineStr">
        <is>
          <t>Specific card overrides general rules</t>
        </is>
      </c>
      <c r="AB366" t="inlineStr">
        <is>
          <t>Full card scan read; behaviour paraphrased (no card text copied)</t>
        </is>
      </c>
      <c r="AC366" t="inlineStr">
        <is>
          <t>FUNCTIONALLY COMPLETE</t>
        </is>
      </c>
      <c r="AD366" t="inlineStr">
        <is>
          <t>None</t>
        </is>
      </c>
      <c r="AE366" t="inlineStr">
        <is>
          <t>Card scan (GitHub: Cha0smagick/Virtual-Illuminati-New-World-order-INWO-game), read Sep 2026</t>
        </is>
      </c>
      <c r="AF366" t="inlineStr">
        <is>
          <t>N/A</t>
        </is>
      </c>
      <c r="AG366" t="inlineStr">
        <is>
          <t>N/A</t>
        </is>
      </c>
      <c r="AH366" t="inlineStr">
        <is>
          <t>N/A</t>
        </is>
      </c>
      <c r="AI366" t="inlineStr">
        <is>
          <t>N/A</t>
        </is>
      </c>
      <c r="AJ366" t="inlineStr">
        <is>
          <t>N/A</t>
        </is>
      </c>
      <c r="AK366" t="inlineStr">
        <is>
          <t>Official rules: non-Group card types do not use normal Group control-arrow geometry.</t>
        </is>
      </c>
    </row>
    <row r="367" ht="34" customHeight="1" s="16">
      <c r="A367" s="20" t="inlineStr">
        <is>
          <t>Upheaval!</t>
        </is>
      </c>
      <c r="B367" s="20" t="inlineStr">
        <is>
          <t>Plot</t>
        </is>
      </c>
      <c r="C367" s="20" t="inlineStr">
        <is>
          <t>Plot</t>
        </is>
      </c>
      <c r="D367" s="20" t="inlineStr">
        <is>
          <t>Common</t>
        </is>
      </c>
      <c r="E367" s="20" t="str"/>
      <c r="F367" s="20" t="str"/>
      <c r="G367" s="20" t="str"/>
      <c r="H367" s="20" t="str"/>
      <c r="I367" s="20" t="inlineStr">
        <is>
          <t>Using your Illuminati's action, force every player to pick one group in their own Power Structure and discard it. These groups are discarded, not destroyed, so they never count toward any victory conditions. May be played at any time, but not on the first turn (errata applied).</t>
        </is>
      </c>
      <c r="J367" s="20" t="inlineStr">
        <is>
          <t>Needs rules-engine encoding</t>
        </is>
      </c>
      <c r="K367" s="20" t="inlineStr">
        <is>
          <t>High</t>
        </is>
      </c>
      <c r="L367" s="20" t="inlineStr">
        <is>
          <t>'Not first turn' restriction comes from errata, not printed text.</t>
        </is>
      </c>
      <c r="M367" s="20" t="inlineStr">
        <is>
          <t>https://github.com/Cha0smagick/Virtual-Illuminati-New-World-order-INWO-game</t>
        </is>
      </c>
      <c r="N367" t="inlineStr">
        <is>
          <t>Any time (not on the first turn)</t>
        </is>
      </c>
      <c r="O367" t="inlineStr">
        <is>
          <t>Every player's Power Structure (each chooses one of their own groups)</t>
        </is>
      </c>
      <c r="P367" t="inlineStr">
        <is>
          <t>Illuminati action</t>
        </is>
      </c>
      <c r="Q367" t="inlineStr">
        <is>
          <t>Immediate</t>
        </is>
      </c>
      <c r="R367" t="inlineStr">
        <is>
          <t>Each player discards 1 group of their choice from Power Structure; not counted as destroyed</t>
        </is>
      </c>
      <c r="S367" t="inlineStr">
        <is>
          <t>NO</t>
        </is>
      </c>
      <c r="T367" t="inlineStr">
        <is>
          <t>N/A</t>
        </is>
      </c>
      <c r="U367" t="inlineStr">
        <is>
          <t>N/A</t>
        </is>
      </c>
      <c r="V367" t="inlineStr">
        <is>
          <t>N/A — INWO uses Plots instead of group income/money</t>
        </is>
      </c>
      <c r="W367" t="inlineStr">
        <is>
          <t>N/A</t>
        </is>
      </c>
      <c r="X367" t="inlineStr">
        <is>
          <t>No card-specific limit (base duplicate rules apply)</t>
        </is>
      </c>
      <c r="Y367" t="inlineStr">
        <is>
          <t>Requires Illuminati action; cannot be played on the first turn (errata)</t>
        </is>
      </c>
      <c r="Z367" t="inlineStr">
        <is>
          <t>Standard response window</t>
        </is>
      </c>
      <c r="AA367" t="inlineStr">
        <is>
          <t>Specific card overrides general rules</t>
        </is>
      </c>
      <c r="AB367" t="inlineStr">
        <is>
          <t>Full card scan read; behaviour paraphrased (no card text copied)</t>
        </is>
      </c>
      <c r="AC367" t="inlineStr">
        <is>
          <t>FUNCTIONALLY COMPLETE</t>
        </is>
      </c>
      <c r="AD367" t="inlineStr">
        <is>
          <t>None</t>
        </is>
      </c>
      <c r="AE367" t="inlineStr">
        <is>
          <t>Card scan (GitHub: Cha0smagick/Virtual-Illuminati-New-World-order-INWO-game), read Sep 2026</t>
        </is>
      </c>
      <c r="AF367" t="inlineStr">
        <is>
          <t>N/A</t>
        </is>
      </c>
      <c r="AG367" t="inlineStr">
        <is>
          <t>N/A</t>
        </is>
      </c>
      <c r="AH367" t="inlineStr">
        <is>
          <t>N/A</t>
        </is>
      </c>
      <c r="AI367" t="inlineStr">
        <is>
          <t>N/A</t>
        </is>
      </c>
      <c r="AJ367" t="inlineStr">
        <is>
          <t>N/A</t>
        </is>
      </c>
      <c r="AK367" t="inlineStr">
        <is>
          <t>Official rules: non-Group card types do not use normal Group control-arrow geometry.</t>
        </is>
      </c>
    </row>
    <row r="368" ht="34" customHeight="1" s="16">
      <c r="A368" s="20" t="inlineStr">
        <is>
          <t>Volcano</t>
        </is>
      </c>
      <c r="B368" s="20" t="inlineStr">
        <is>
          <t>Plot</t>
        </is>
      </c>
      <c r="C368" s="20" t="inlineStr">
        <is>
          <t>Disaster</t>
        </is>
      </c>
      <c r="D368" s="20" t="inlineStr">
        <is>
          <t>Uncommon</t>
        </is>
      </c>
      <c r="E368" s="20" t="inlineStr">
        <is>
          <t>18</t>
        </is>
      </c>
      <c r="F368" s="20" t="str"/>
      <c r="G368" s="20" t="str"/>
      <c r="H368" s="20" t="str"/>
      <c r="I368" s="20" t="inlineStr">
        <is>
          <t>Disaster: an Instant Attack to Destroy any Place that is not Huge, needing no action, at Power 18 (errata applied; printed 14). On success the target is Devastated; if the roll succeeds by 2 or more, the target is destroyed (errata applied; printed 'more than 3').</t>
        </is>
      </c>
      <c r="J368" s="20" t="inlineStr">
        <is>
          <t>Needs rules-engine encoding</t>
        </is>
      </c>
      <c r="K368" s="20" t="inlineStr">
        <is>
          <t>High</t>
        </is>
      </c>
      <c r="L368" s="20" t="inlineStr">
        <is>
          <t>Printed card: Power 14 and destroyed on margin more than 3; errata overrides to Power 18 and margin 2+. Confirm exact meaning of errata 'margin 2+' (&gt;=2).</t>
        </is>
      </c>
      <c r="M368" s="20" t="inlineStr">
        <is>
          <t>https://github.com/Cha0smagick/Virtual-Illuminati-New-World-order-INWO-game</t>
        </is>
      </c>
      <c r="N368" t="inlineStr">
        <is>
          <t>Any time (Instant Attack; Disaster)</t>
        </is>
      </c>
      <c r="O368" t="inlineStr">
        <is>
          <t>Any non-Huge Place</t>
        </is>
      </c>
      <c r="P368" t="inlineStr">
        <is>
          <t>None (does not require an action)</t>
        </is>
      </c>
      <c r="Q368" t="inlineStr">
        <is>
          <t>Immediate</t>
        </is>
      </c>
      <c r="R368" t="inlineStr">
        <is>
          <t>Attack to Destroy at Power 18; success = Devastated; success margin 2+ = destroyed (errata)</t>
        </is>
      </c>
      <c r="S368" t="inlineStr">
        <is>
          <t>NO</t>
        </is>
      </c>
      <c r="T368" t="inlineStr">
        <is>
          <t>N/A</t>
        </is>
      </c>
      <c r="U368" t="inlineStr">
        <is>
          <t>N/A</t>
        </is>
      </c>
      <c r="V368" t="inlineStr">
        <is>
          <t>N/A — INWO uses Plots instead of group income/money</t>
        </is>
      </c>
      <c r="W368" t="inlineStr">
        <is>
          <t>N/A</t>
        </is>
      </c>
      <c r="X368" t="inlineStr">
        <is>
          <t>No card-specific limit (base duplicate rules apply)</t>
        </is>
      </c>
      <c r="Y368" t="inlineStr">
        <is>
          <t>None beyond base rules</t>
        </is>
      </c>
      <c r="Z368" t="inlineStr">
        <is>
          <t>Standard response window</t>
        </is>
      </c>
      <c r="AA368" t="inlineStr">
        <is>
          <t>Specific card overrides general rules</t>
        </is>
      </c>
      <c r="AB368" t="inlineStr">
        <is>
          <t>Full card scan read; behaviour paraphrased (no card text copied)</t>
        </is>
      </c>
      <c r="AC368" t="inlineStr">
        <is>
          <t>FUNCTIONALLY COMPLETE</t>
        </is>
      </c>
      <c r="AD368" t="inlineStr">
        <is>
          <t>None</t>
        </is>
      </c>
      <c r="AE368" t="inlineStr">
        <is>
          <t>Card scan (GitHub: Cha0smagick/Virtual-Illuminati-New-World-order-INWO-game), read Sep 2026</t>
        </is>
      </c>
      <c r="AF368" t="inlineStr">
        <is>
          <t>N/A</t>
        </is>
      </c>
      <c r="AG368" t="inlineStr">
        <is>
          <t>N/A</t>
        </is>
      </c>
      <c r="AH368" t="inlineStr">
        <is>
          <t>N/A</t>
        </is>
      </c>
      <c r="AI368" t="inlineStr">
        <is>
          <t>N/A</t>
        </is>
      </c>
      <c r="AJ368" t="inlineStr">
        <is>
          <t>N/A</t>
        </is>
      </c>
      <c r="AK368" t="inlineStr">
        <is>
          <t>Official rules: non-Group card types do not use normal Group control-arrow geometry.</t>
        </is>
      </c>
    </row>
    <row r="369" ht="34" customHeight="1" s="16">
      <c r="A369" s="20" t="inlineStr">
        <is>
          <t>Volunteer Aid</t>
        </is>
      </c>
      <c r="B369" s="20" t="inlineStr">
        <is>
          <t>Plot</t>
        </is>
      </c>
      <c r="C369" s="20" t="inlineStr">
        <is>
          <t>Plot</t>
        </is>
      </c>
      <c r="D369" s="20" t="inlineStr">
        <is>
          <t>Common</t>
        </is>
      </c>
      <c r="E369" s="20" t="str"/>
      <c r="F369" s="20" t="str"/>
      <c r="G369" s="20" t="str"/>
      <c r="H369" s="20" t="str"/>
      <c r="I369" s="20" t="inlineStr">
        <is>
          <t>Gives one Place +6 to its defense against any Disaster. If the Place still ends up Devastated by that Disaster, it automatically receives Relief at the start of its owner's next turn. Playing it is a free action.</t>
        </is>
      </c>
      <c r="J369" s="20" t="inlineStr">
        <is>
          <t>Needs rules-engine encoding</t>
        </is>
      </c>
      <c r="K369" s="20" t="inlineStr">
        <is>
          <t>High</t>
        </is>
      </c>
      <c r="L369" s="20" t="str"/>
      <c r="M369" s="20" t="inlineStr">
        <is>
          <t>https://github.com/Cha0smagick/Virtual-Illuminati-New-World-order-INWO-game</t>
        </is>
      </c>
      <c r="N369" t="inlineStr">
        <is>
          <t>In response to a Disaster (free action)</t>
        </is>
      </c>
      <c r="O369" t="inlineStr">
        <is>
          <t>One Place being hit by a Disaster</t>
        </is>
      </c>
      <c r="P369" t="inlineStr">
        <is>
          <t>None (free action)</t>
        </is>
      </c>
      <c r="Q369" t="inlineStr">
        <is>
          <t>For that Disaster; Relief applied at start of owner's next turn</t>
        </is>
      </c>
      <c r="R369" t="inlineStr">
        <is>
          <t>+6 defense vs Disaster; if still Devastated, automatic Relief at start of owner's next turn</t>
        </is>
      </c>
      <c r="S369" t="inlineStr">
        <is>
          <t>NO</t>
        </is>
      </c>
      <c r="T369" t="inlineStr">
        <is>
          <t>N/A</t>
        </is>
      </c>
      <c r="U369" t="inlineStr">
        <is>
          <t>N/A</t>
        </is>
      </c>
      <c r="V369" t="inlineStr">
        <is>
          <t>N/A — INWO uses Plots instead of group income/money</t>
        </is>
      </c>
      <c r="W369" t="inlineStr">
        <is>
          <t>N/A</t>
        </is>
      </c>
      <c r="X369" t="inlineStr">
        <is>
          <t>No card-specific limit (base duplicate rules apply)</t>
        </is>
      </c>
      <c r="Y369" t="inlineStr">
        <is>
          <t>A Disaster must be targeting the Place</t>
        </is>
      </c>
      <c r="Z369" t="inlineStr">
        <is>
          <t>Standard response window</t>
        </is>
      </c>
      <c r="AA369" t="inlineStr">
        <is>
          <t>Specific card overrides general rules</t>
        </is>
      </c>
      <c r="AB369" t="inlineStr">
        <is>
          <t>Full card scan read; behaviour paraphrased (no card text copied)</t>
        </is>
      </c>
      <c r="AC369" t="inlineStr">
        <is>
          <t>FUNCTIONALLY COMPLETE</t>
        </is>
      </c>
      <c r="AD369" t="inlineStr">
        <is>
          <t>None</t>
        </is>
      </c>
      <c r="AE369" t="inlineStr">
        <is>
          <t>Card scan (GitHub: Cha0smagick/Virtual-Illuminati-New-World-order-INWO-game), read Sep 2026</t>
        </is>
      </c>
      <c r="AF369" t="inlineStr">
        <is>
          <t>N/A</t>
        </is>
      </c>
      <c r="AG369" t="inlineStr">
        <is>
          <t>N/A</t>
        </is>
      </c>
      <c r="AH369" t="inlineStr">
        <is>
          <t>N/A</t>
        </is>
      </c>
      <c r="AI369" t="inlineStr">
        <is>
          <t>N/A</t>
        </is>
      </c>
      <c r="AJ369" t="inlineStr">
        <is>
          <t>N/A</t>
        </is>
      </c>
      <c r="AK369" t="inlineStr">
        <is>
          <t>Official rules: non-Group card types do not use normal Group control-arrow geometry.</t>
        </is>
      </c>
    </row>
    <row r="370" ht="34" customHeight="1" s="16">
      <c r="A370" s="20" t="inlineStr">
        <is>
          <t>Voodoo Economics</t>
        </is>
      </c>
      <c r="B370" s="20" t="inlineStr">
        <is>
          <t>Plot</t>
        </is>
      </c>
      <c r="C370" s="20" t="inlineStr">
        <is>
          <t>Plot</t>
        </is>
      </c>
      <c r="D370" s="20" t="inlineStr">
        <is>
          <t>Common</t>
        </is>
      </c>
      <c r="E370" s="20" t="str"/>
      <c r="F370" s="20" t="str"/>
      <c r="G370" s="20" t="str"/>
      <c r="H370" s="20" t="str"/>
      <c r="I370" s="20" t="inlineStr">
        <is>
          <t>During your own turn, right after placing Action tokens, and using your Illuminati's action (errata), you may take up to 10 Plot cards off the top of your deck and remove them permanently from the game. For each card removed you may add 1 extra Action token to one of your Groups, with no Group receiving more than one extra token from this card. Each player may use it only once per game (errata applied).</t>
        </is>
      </c>
      <c r="J370" s="20" t="inlineStr">
        <is>
          <t>Needs rules-engine encoding</t>
        </is>
      </c>
      <c r="K370" s="20" t="inlineStr">
        <is>
          <t>High</t>
        </is>
      </c>
      <c r="L370" s="20" t="inlineStr">
        <is>
          <t>Illuminati-action requirement and once-per-game limit come from errata; printed card says only 'Requires Discard'.</t>
        </is>
      </c>
      <c r="M370" s="20" t="inlineStr">
        <is>
          <t>https://github.com/Cha0smagick/Virtual-Illuminati-New-World-order-INWO-game</t>
        </is>
      </c>
      <c r="N370" t="inlineStr">
        <is>
          <t>Your turn, immediately after placing Action tokens</t>
        </is>
      </c>
      <c r="O370" t="inlineStr">
        <is>
          <t>Your own Groups</t>
        </is>
      </c>
      <c r="P370" t="inlineStr">
        <is>
          <t>Illuminati action (errata) plus removing 0-10 top Plot cards of your deck from the game</t>
        </is>
      </c>
      <c r="Q370" t="inlineStr">
        <is>
          <t>Current turn</t>
        </is>
      </c>
      <c r="R370" t="inlineStr">
        <is>
          <t>+1 Action token per removed card (max 10), max +1 per Group</t>
        </is>
      </c>
      <c r="S370" t="inlineStr">
        <is>
          <t>NO</t>
        </is>
      </c>
      <c r="T370" t="inlineStr">
        <is>
          <t>N/A</t>
        </is>
      </c>
      <c r="U370" t="inlineStr">
        <is>
          <t>N/A</t>
        </is>
      </c>
      <c r="V370" t="inlineStr">
        <is>
          <t>N/A — INWO uses Plots instead of group income/money</t>
        </is>
      </c>
      <c r="W370" t="inlineStr">
        <is>
          <t>N/A</t>
        </is>
      </c>
      <c r="X370" t="inlineStr">
        <is>
          <t>Once per player per game (errata)</t>
        </is>
      </c>
      <c r="Y370" t="inlineStr">
        <is>
          <t>Requires Illuminati action (errata); requires discard; your own turn right after Action tokens are placed</t>
        </is>
      </c>
      <c r="Z370" t="inlineStr">
        <is>
          <t>Standard response window</t>
        </is>
      </c>
      <c r="AA370" t="inlineStr">
        <is>
          <t>Specific card overrides general rules</t>
        </is>
      </c>
      <c r="AB370" t="inlineStr">
        <is>
          <t>Full card scan read; behaviour paraphrased (no card text copied)</t>
        </is>
      </c>
      <c r="AC370" t="inlineStr">
        <is>
          <t>FUNCTIONALLY COMPLETE</t>
        </is>
      </c>
      <c r="AD370" t="inlineStr">
        <is>
          <t>None</t>
        </is>
      </c>
      <c r="AE370" t="inlineStr">
        <is>
          <t>Card scan (GitHub: Cha0smagick/Virtual-Illuminati-New-World-order-INWO-game), read Sep 2026</t>
        </is>
      </c>
      <c r="AF370" t="inlineStr">
        <is>
          <t>N/A</t>
        </is>
      </c>
      <c r="AG370" t="inlineStr">
        <is>
          <t>N/A</t>
        </is>
      </c>
      <c r="AH370" t="inlineStr">
        <is>
          <t>N/A</t>
        </is>
      </c>
      <c r="AI370" t="inlineStr">
        <is>
          <t>N/A</t>
        </is>
      </c>
      <c r="AJ370" t="inlineStr">
        <is>
          <t>N/A</t>
        </is>
      </c>
      <c r="AK370" t="inlineStr">
        <is>
          <t>Official rules: non-Group card types do not use normal Group control-arrow geometry.</t>
        </is>
      </c>
    </row>
    <row r="371" ht="34" customHeight="1" s="16">
      <c r="A371" s="20" t="inlineStr">
        <is>
          <t>Vultures</t>
        </is>
      </c>
      <c r="B371" s="20" t="inlineStr">
        <is>
          <t>Plot</t>
        </is>
      </c>
      <c r="C371" s="20" t="inlineStr">
        <is>
          <t>Plot</t>
        </is>
      </c>
      <c r="D371" s="20" t="inlineStr">
        <is>
          <t>Common</t>
        </is>
      </c>
      <c r="E371" s="20" t="str"/>
      <c r="F371" s="20" t="str"/>
      <c r="G371" s="20" t="str"/>
      <c r="H371" s="20" t="str"/>
      <c r="I371" s="20" t="inlineStr">
        <is>
          <t>Played after a rival plays a Group from their own hand, fails the takeover, and discards it. Instead of going to the discard pile, that Group card goes into your hand.</t>
        </is>
      </c>
      <c r="J371" s="20" t="inlineStr">
        <is>
          <t>Needs rules-engine encoding</t>
        </is>
      </c>
      <c r="K371" s="20" t="inlineStr">
        <is>
          <t>High</t>
        </is>
      </c>
      <c r="L371" s="20" t="str"/>
      <c r="M371" s="20" t="inlineStr">
        <is>
          <t>https://github.com/Cha0smagick/Virtual-Illuminati-New-World-order-INWO-game</t>
        </is>
      </c>
      <c r="N371" t="inlineStr">
        <is>
          <t>After a rival's failed takeover of a Group played from their hand</t>
        </is>
      </c>
      <c r="O371" t="inlineStr">
        <is>
          <t>The Group card just discarded by that rival</t>
        </is>
      </c>
      <c r="P371" t="inlineStr">
        <is>
          <t>None</t>
        </is>
      </c>
      <c r="Q371" t="inlineStr">
        <is>
          <t>Immediate</t>
        </is>
      </c>
      <c r="R371" t="inlineStr">
        <is>
          <t>Move failed-takeover Group card from rival's discard to your hand</t>
        </is>
      </c>
      <c r="S371" t="inlineStr">
        <is>
          <t>NO</t>
        </is>
      </c>
      <c r="T371" t="inlineStr">
        <is>
          <t>N/A</t>
        </is>
      </c>
      <c r="U371" t="inlineStr">
        <is>
          <t>N/A</t>
        </is>
      </c>
      <c r="V371" t="inlineStr">
        <is>
          <t>N/A — INWO uses Plots instead of group income/money</t>
        </is>
      </c>
      <c r="W371" t="inlineStr">
        <is>
          <t>N/A</t>
        </is>
      </c>
      <c r="X371" t="inlineStr">
        <is>
          <t>No card-specific limit (base duplicate rules apply)</t>
        </is>
      </c>
      <c r="Y371" t="inlineStr">
        <is>
          <t>A rival must have just failed to take over a Group played from their hand and discarded it</t>
        </is>
      </c>
      <c r="Z371" t="inlineStr">
        <is>
          <t>Standard response window</t>
        </is>
      </c>
      <c r="AA371" t="inlineStr">
        <is>
          <t>Specific card overrides general rules</t>
        </is>
      </c>
      <c r="AB371" t="inlineStr">
        <is>
          <t>Full card scan read; behaviour paraphrased (no card text copied)</t>
        </is>
      </c>
      <c r="AC371" t="inlineStr">
        <is>
          <t>FUNCTIONALLY COMPLETE</t>
        </is>
      </c>
      <c r="AD371" t="inlineStr">
        <is>
          <t>None</t>
        </is>
      </c>
      <c r="AE371" t="inlineStr">
        <is>
          <t>Card scan (GitHub: Cha0smagick/Virtual-Illuminati-New-World-order-INWO-game), read Sep 2026</t>
        </is>
      </c>
      <c r="AF371" t="inlineStr">
        <is>
          <t>N/A</t>
        </is>
      </c>
      <c r="AG371" t="inlineStr">
        <is>
          <t>N/A</t>
        </is>
      </c>
      <c r="AH371" t="inlineStr">
        <is>
          <t>N/A</t>
        </is>
      </c>
      <c r="AI371" t="inlineStr">
        <is>
          <t>N/A</t>
        </is>
      </c>
      <c r="AJ371" t="inlineStr">
        <is>
          <t>N/A</t>
        </is>
      </c>
      <c r="AK371" t="inlineStr">
        <is>
          <t>Official rules: non-Group card types do not use normal Group control-arrow geometry.</t>
        </is>
      </c>
    </row>
    <row r="372" ht="34" customHeight="1" s="16">
      <c r="A372" s="20" t="inlineStr">
        <is>
          <t>Whispering Campaign</t>
        </is>
      </c>
      <c r="B372" s="20" t="inlineStr">
        <is>
          <t>Plot</t>
        </is>
      </c>
      <c r="C372" s="20" t="inlineStr">
        <is>
          <t>Plot</t>
        </is>
      </c>
      <c r="D372" s="20" t="inlineStr">
        <is>
          <t>Common</t>
        </is>
      </c>
      <c r="E372" s="20" t="str"/>
      <c r="F372" s="20" t="str"/>
      <c r="G372" s="20" t="str"/>
      <c r="H372" s="20" t="str"/>
      <c r="I372" s="20" t="inlineStr">
        <is>
          <t>Needs an action from one of your Media groups. Adds +15 to an Attack to Destroy against a Personality, or +10 to an Attack to Destroy against any other Group. Cannot be combined with Assassinations or Disasters. A Personality destroyed this way is out of the game permanently and can never be brought back into play by any means.</t>
        </is>
      </c>
      <c r="J372" s="20" t="inlineStr">
        <is>
          <t>Needs rules-engine encoding</t>
        </is>
      </c>
      <c r="K372" s="20" t="inlineStr">
        <is>
          <t>High</t>
        </is>
      </c>
      <c r="L372" s="20" t="inlineStr">
        <is>
          <t>Personality is destroyed (counts as destroyed) but not 'dead'; no card may return it to play.</t>
        </is>
      </c>
      <c r="M372" s="20" t="inlineStr">
        <is>
          <t>https://github.com/Cha0smagick/Virtual-Illuminati-New-World-order-INWO-game</t>
        </is>
      </c>
      <c r="N372" t="inlineStr">
        <is>
          <t>When an Attack to Destroy is made</t>
        </is>
      </c>
      <c r="O372" t="inlineStr">
        <is>
          <t>An Attack to Destroy against a Group</t>
        </is>
      </c>
      <c r="P372" t="inlineStr">
        <is>
          <t>Action of a Media group</t>
        </is>
      </c>
      <c r="Q372" t="inlineStr">
        <is>
          <t>That attack</t>
        </is>
      </c>
      <c r="R372" t="inlineStr">
        <is>
          <t>+15 to destroy a Personality; +10 to destroy other Group; destroyed Personality cannot return to play</t>
        </is>
      </c>
      <c r="S372" t="inlineStr">
        <is>
          <t>NO</t>
        </is>
      </c>
      <c r="T372" t="inlineStr">
        <is>
          <t>N/A</t>
        </is>
      </c>
      <c r="U372" t="inlineStr">
        <is>
          <t>N/A</t>
        </is>
      </c>
      <c r="V372" t="inlineStr">
        <is>
          <t>N/A — INWO uses Plots instead of group income/money</t>
        </is>
      </c>
      <c r="W372" t="inlineStr">
        <is>
          <t>N/A</t>
        </is>
      </c>
      <c r="X372" t="inlineStr">
        <is>
          <t>No card-specific limit (base duplicate rules apply)</t>
        </is>
      </c>
      <c r="Y372" t="inlineStr">
        <is>
          <t>Requires Media action; not usable with Assassination or Disaster cards</t>
        </is>
      </c>
      <c r="Z372" t="inlineStr">
        <is>
          <t>Standard response window</t>
        </is>
      </c>
      <c r="AA372" t="inlineStr">
        <is>
          <t>Specific card overrides general rules</t>
        </is>
      </c>
      <c r="AB372" t="inlineStr">
        <is>
          <t>Full card scan read; behaviour paraphrased (no card text copied)</t>
        </is>
      </c>
      <c r="AC372" t="inlineStr">
        <is>
          <t>FUNCTIONALLY COMPLETE</t>
        </is>
      </c>
      <c r="AD372" t="inlineStr">
        <is>
          <t>None</t>
        </is>
      </c>
      <c r="AE372" t="inlineStr">
        <is>
          <t>Card scan (GitHub: Cha0smagick/Virtual-Illuminati-New-World-order-INWO-game), read Sep 2026</t>
        </is>
      </c>
      <c r="AF372" t="inlineStr">
        <is>
          <t>N/A</t>
        </is>
      </c>
      <c r="AG372" t="inlineStr">
        <is>
          <t>N/A</t>
        </is>
      </c>
      <c r="AH372" t="inlineStr">
        <is>
          <t>N/A</t>
        </is>
      </c>
      <c r="AI372" t="inlineStr">
        <is>
          <t>N/A</t>
        </is>
      </c>
      <c r="AJ372" t="inlineStr">
        <is>
          <t>N/A</t>
        </is>
      </c>
      <c r="AK372" t="inlineStr">
        <is>
          <t>Official rules: non-Group card types do not use normal Group control-arrow geometry.</t>
        </is>
      </c>
    </row>
    <row r="373" ht="34" customHeight="1" s="16">
      <c r="A373" s="20" t="inlineStr">
        <is>
          <t>Withering Curse</t>
        </is>
      </c>
      <c r="B373" s="20" t="inlineStr">
        <is>
          <t>Plot</t>
        </is>
      </c>
      <c r="C373" s="20" t="inlineStr">
        <is>
          <t>Assassination</t>
        </is>
      </c>
      <c r="D373" s="20" t="inlineStr">
        <is>
          <t>Rare</t>
        </is>
      </c>
      <c r="E373" s="20" t="inlineStr">
        <is>
          <t>10</t>
        </is>
      </c>
      <c r="F373" s="20" t="str"/>
      <c r="G373" s="20" t="str"/>
      <c r="H373" s="20" t="str"/>
      <c r="I373" s="20" t="inlineStr">
        <is>
          <t>Assassination: an Instant Attack to Destroy any Personality, playable at any time and needing no action, at Power 10. One Magic group may optionally spend its action to join and add its own Power. The attack counts as Magic.</t>
        </is>
      </c>
      <c r="J373" s="20" t="inlineStr">
        <is>
          <t>Needs rules-engine encoding</t>
        </is>
      </c>
      <c r="K373" s="20" t="inlineStr">
        <is>
          <t>High</t>
        </is>
      </c>
      <c r="L373" s="20" t="str"/>
      <c r="M373" s="20" t="inlineStr">
        <is>
          <t>https://github.com/Cha0smagick/Virtual-Illuminati-New-World-order-INWO-game</t>
        </is>
      </c>
      <c r="N373" t="inlineStr">
        <is>
          <t>Any time (Instant Attack; Assassination)</t>
        </is>
      </c>
      <c r="O373" t="inlineStr">
        <is>
          <t>Any Personality</t>
        </is>
      </c>
      <c r="P373" t="inlineStr">
        <is>
          <t>None (optional: action of one Magic group)</t>
        </is>
      </c>
      <c r="Q373" t="inlineStr">
        <is>
          <t>Immediate</t>
        </is>
      </c>
      <c r="R373" t="inlineStr">
        <is>
          <t>Attack to Destroy at Power 10; + Power of one optional Magic group; attack is Magic</t>
        </is>
      </c>
      <c r="S373" t="inlineStr">
        <is>
          <t>NO</t>
        </is>
      </c>
      <c r="T373" t="inlineStr">
        <is>
          <t>N/A</t>
        </is>
      </c>
      <c r="U373" t="inlineStr">
        <is>
          <t>N/A</t>
        </is>
      </c>
      <c r="V373" t="inlineStr">
        <is>
          <t>N/A — INWO uses Plots instead of group income/money</t>
        </is>
      </c>
      <c r="W373" t="inlineStr">
        <is>
          <t>N/A</t>
        </is>
      </c>
      <c r="X373" t="inlineStr">
        <is>
          <t>No card-specific limit (base duplicate rules apply)</t>
        </is>
      </c>
      <c r="Y373" t="inlineStr">
        <is>
          <t>No more than one Magic group can contribute its Power</t>
        </is>
      </c>
      <c r="Z373" t="inlineStr">
        <is>
          <t>Standard response window</t>
        </is>
      </c>
      <c r="AA373" t="inlineStr">
        <is>
          <t>Specific card overrides general rules</t>
        </is>
      </c>
      <c r="AB373" t="inlineStr">
        <is>
          <t>Full card scan read; behaviour paraphrased (no card text copied)</t>
        </is>
      </c>
      <c r="AC373" t="inlineStr">
        <is>
          <t>FUNCTIONALLY COMPLETE</t>
        </is>
      </c>
      <c r="AD373" t="inlineStr">
        <is>
          <t>None</t>
        </is>
      </c>
      <c r="AE373" t="inlineStr">
        <is>
          <t>Card scan (GitHub: Cha0smagick/Virtual-Illuminati-New-World-order-INWO-game), read Sep 2026</t>
        </is>
      </c>
      <c r="AF373" t="inlineStr">
        <is>
          <t>N/A</t>
        </is>
      </c>
      <c r="AG373" t="inlineStr">
        <is>
          <t>N/A</t>
        </is>
      </c>
      <c r="AH373" t="inlineStr">
        <is>
          <t>N/A</t>
        </is>
      </c>
      <c r="AI373" t="inlineStr">
        <is>
          <t>N/A</t>
        </is>
      </c>
      <c r="AJ373" t="inlineStr">
        <is>
          <t>N/A</t>
        </is>
      </c>
      <c r="AK373" t="inlineStr">
        <is>
          <t>Official rules: non-Group card types do not use normal Group control-arrow geometry.</t>
        </is>
      </c>
    </row>
    <row r="374" ht="34" customHeight="1" s="16">
      <c r="A374" s="20" t="inlineStr">
        <is>
          <t>World Cup Victory</t>
        </is>
      </c>
      <c r="B374" s="20" t="inlineStr">
        <is>
          <t>Plot</t>
        </is>
      </c>
      <c r="C374" s="20" t="inlineStr">
        <is>
          <t>Plot</t>
        </is>
      </c>
      <c r="D374" s="20" t="inlineStr">
        <is>
          <t>Rare</t>
        </is>
      </c>
      <c r="E374" s="20" t="str"/>
      <c r="F374" s="20" t="str"/>
      <c r="G374" s="20" t="str"/>
      <c r="H374" s="20" t="str"/>
      <c r="I374" s="20" t="inlineStr">
        <is>
          <t>Play at any time to give one Nation you control +10 Power or +10 Resistance (your choice). If used for an action, it must be played when that action is first announced and applies only to that action. If used on defense, the bonus lasts until end of the current turn and does not count toward Goals.</t>
        </is>
      </c>
      <c r="J374" s="20" t="inlineStr">
        <is>
          <t>Needs rules-engine encoding</t>
        </is>
      </c>
      <c r="K374" s="20" t="inlineStr">
        <is>
          <t>High</t>
        </is>
      </c>
      <c r="L374" s="20" t="str"/>
      <c r="M374" s="20" t="inlineStr">
        <is>
          <t>https://github.com/Cha0smagick/Virtual-Illuminati-New-World-order-INWO-game</t>
        </is>
      </c>
      <c r="N374" t="inlineStr">
        <is>
          <t>Any time (when an action is declared, if boosting an action)</t>
        </is>
      </c>
      <c r="O374" t="inlineStr">
        <is>
          <t>One Nation you control</t>
        </is>
      </c>
      <c r="P374" t="inlineStr">
        <is>
          <t>None</t>
        </is>
      </c>
      <c r="Q374" t="inlineStr">
        <is>
          <t>Offense: that single action; Defense: until end of current turn</t>
        </is>
      </c>
      <c r="R374" t="inlineStr">
        <is>
          <t>+10 Power or +10 Resistance to one controlled Nation; does not count toward Goals when used for defense</t>
        </is>
      </c>
      <c r="S374" t="inlineStr">
        <is>
          <t>NO</t>
        </is>
      </c>
      <c r="T374" t="inlineStr">
        <is>
          <t>N/A</t>
        </is>
      </c>
      <c r="U374" t="inlineStr">
        <is>
          <t>N/A</t>
        </is>
      </c>
      <c r="V374" t="inlineStr">
        <is>
          <t>N/A — INWO uses Plots instead of group income/money</t>
        </is>
      </c>
      <c r="W374" t="inlineStr">
        <is>
          <t>N/A</t>
        </is>
      </c>
      <c r="X374" t="inlineStr">
        <is>
          <t>No card-specific limit (base duplicate rules apply)</t>
        </is>
      </c>
      <c r="Y374" t="inlineStr">
        <is>
          <t>Target must be a Nation you control; if boosting an action, must be played as that action is first declared</t>
        </is>
      </c>
      <c r="Z374" t="inlineStr">
        <is>
          <t>Standard response window</t>
        </is>
      </c>
      <c r="AA374" t="inlineStr">
        <is>
          <t>Specific card overrides general rules</t>
        </is>
      </c>
      <c r="AB374" t="inlineStr">
        <is>
          <t>Full card scan read; behaviour paraphrased (no card text copied)</t>
        </is>
      </c>
      <c r="AC374" t="inlineStr">
        <is>
          <t>FUNCTIONALLY COMPLETE</t>
        </is>
      </c>
      <c r="AD374" t="inlineStr">
        <is>
          <t>None</t>
        </is>
      </c>
      <c r="AE374" t="inlineStr">
        <is>
          <t>Card scan (GitHub: Cha0smagick/Virtual-Illuminati-New-World-order-INWO-game), read Sep 2026</t>
        </is>
      </c>
      <c r="AF374" t="inlineStr">
        <is>
          <t>N/A</t>
        </is>
      </c>
      <c r="AG374" t="inlineStr">
        <is>
          <t>N/A</t>
        </is>
      </c>
      <c r="AH374" t="inlineStr">
        <is>
          <t>N/A</t>
        </is>
      </c>
      <c r="AI374" t="inlineStr">
        <is>
          <t>N/A</t>
        </is>
      </c>
      <c r="AJ374" t="inlineStr">
        <is>
          <t>N/A</t>
        </is>
      </c>
      <c r="AK374" t="inlineStr">
        <is>
          <t>Official rules: non-Group card types do not use normal Group control-arrow geometry.</t>
        </is>
      </c>
    </row>
    <row r="375" ht="34" customHeight="1" s="16">
      <c r="A375" s="20" t="inlineStr">
        <is>
          <t>Angel's Feather</t>
        </is>
      </c>
      <c r="B375" s="20" t="inlineStr">
        <is>
          <t>Resource</t>
        </is>
      </c>
      <c r="C375" s="20" t="str"/>
      <c r="D375" s="20" t="inlineStr">
        <is>
          <t>Common</t>
        </is>
      </c>
      <c r="E375" s="20" t="str"/>
      <c r="F375" s="20" t="str"/>
      <c r="G375" s="20" t="str"/>
      <c r="H375" s="20" t="str"/>
      <c r="I375" s="20" t="inlineStr">
        <is>
          <t>Link to a Peaceful group. If that group fails an Attack to Control, reroll it; if any attack against a Peaceful group you control succeeds, reroll it. The reroll's result stands.</t>
        </is>
      </c>
      <c r="J375" s="20" t="inlineStr">
        <is>
          <t>Needs rules-engine encoding</t>
        </is>
      </c>
      <c r="K375" s="20" t="inlineStr">
        <is>
          <t>High</t>
        </is>
      </c>
      <c r="L375" s="20" t="str"/>
      <c r="M375" s="20" t="inlineStr">
        <is>
          <t>https://github.com/Cha0smagick/Virtual-Illuminati-New-World-order-INWO-game</t>
        </is>
      </c>
      <c r="N375" t="inlineStr">
        <is>
          <t>Passive while in play</t>
        </is>
      </c>
      <c r="O375" t="inlineStr">
        <is>
          <t>Linked Peaceful group (its failed control attacks) and all your Peaceful groups (attacks against them)</t>
        </is>
      </c>
      <c r="P375" t="inlineStr">
        <is>
          <t>None</t>
        </is>
      </c>
      <c r="Q375" t="inlineStr">
        <is>
          <t>Permanent while in play</t>
        </is>
      </c>
      <c r="R375" t="inlineStr">
        <is>
          <t>Auto-reroll: linked group's failed Attack to Control; any successful attack vs your Peaceful groups; second roll final</t>
        </is>
      </c>
      <c r="S375" t="inlineStr">
        <is>
          <t>NO</t>
        </is>
      </c>
      <c r="T375" t="inlineStr">
        <is>
          <t>N/A</t>
        </is>
      </c>
      <c r="U375" t="inlineStr">
        <is>
          <t>N/A</t>
        </is>
      </c>
      <c r="V375" t="inlineStr">
        <is>
          <t>N/A — INWO uses Plots instead of group income/money</t>
        </is>
      </c>
      <c r="W375" t="inlineStr">
        <is>
          <t>No action</t>
        </is>
      </c>
      <c r="X375" t="inlineStr">
        <is>
          <t>Unique (Magic Artifact)</t>
        </is>
      </c>
      <c r="Y375" t="inlineStr">
        <is>
          <t>Must be linked to a Peaceful group</t>
        </is>
      </c>
      <c r="Z375" t="inlineStr">
        <is>
          <t>Standard response window</t>
        </is>
      </c>
      <c r="AA375" t="inlineStr">
        <is>
          <t>Specific card overrides general rules</t>
        </is>
      </c>
      <c r="AB375" t="inlineStr">
        <is>
          <t>Full card scan read; behaviour paraphrased (no card text copied)</t>
        </is>
      </c>
      <c r="AC375" t="inlineStr">
        <is>
          <t>FUNCTIONALLY COMPLETE</t>
        </is>
      </c>
      <c r="AD375" t="inlineStr">
        <is>
          <t>None</t>
        </is>
      </c>
      <c r="AE375" t="inlineStr">
        <is>
          <t>Card scan (GitHub: Cha0smagick/Virtual-Illuminati-New-World-order-INWO-game), read Sep 2026</t>
        </is>
      </c>
      <c r="AF375" t="inlineStr">
        <is>
          <t>N/A</t>
        </is>
      </c>
      <c r="AG375" t="inlineStr">
        <is>
          <t>N/A</t>
        </is>
      </c>
      <c r="AH375" t="inlineStr">
        <is>
          <t>N/A</t>
        </is>
      </c>
      <c r="AI375" t="inlineStr">
        <is>
          <t>N/A</t>
        </is>
      </c>
      <c r="AJ375" t="inlineStr">
        <is>
          <t>N/A</t>
        </is>
      </c>
      <c r="AK375" t="inlineStr">
        <is>
          <t>Official rules: non-Group card types do not use normal Group control-arrow geometry.</t>
        </is>
      </c>
    </row>
    <row r="376" ht="34" customHeight="1" s="16">
      <c r="A376" s="20" t="inlineStr">
        <is>
          <t>Ark of the Covenant</t>
        </is>
      </c>
      <c r="B376" s="20" t="inlineStr">
        <is>
          <t>Resource</t>
        </is>
      </c>
      <c r="C376" s="20" t="str"/>
      <c r="D376" s="20" t="inlineStr">
        <is>
          <t>Rare</t>
        </is>
      </c>
      <c r="E376" s="20" t="str"/>
      <c r="F376" s="20" t="str"/>
      <c r="G376" s="20" t="str"/>
      <c r="H376" s="20" t="str"/>
      <c r="I376" s="20" t="inlineStr">
        <is>
          <t>Secretly write down which of your groups is protected and keep the note beneath this card. If the protected group is destroyed, show the note, and its destroyer is destroyed too; when the destroyer was an Illuminati, that Illuminati's owner instead chooses one of his groups to lose. The enemy group lost this way is credited to your Goals, after which you may secretly pick a new group to protect. Changing the protected group is allowed only during your turn.</t>
        </is>
      </c>
      <c r="J376" s="20" t="inlineStr">
        <is>
          <t>Needs rules-engine encoding</t>
        </is>
      </c>
      <c r="K376" s="20" t="inlineStr">
        <is>
          <t>High</t>
        </is>
      </c>
      <c r="L376" s="20" t="inlineStr">
        <is>
          <t>Card does not state whether the retaliation can be resisted or responded to; appears automatic.</t>
        </is>
      </c>
      <c r="M376" s="20" t="inlineStr">
        <is>
          <t>https://github.com/Cha0smagick/Virtual-Illuminati-New-World-order-INWO-game</t>
        </is>
      </c>
      <c r="N376" t="inlineStr">
        <is>
          <t>Passive while in play (triggers when the named group is destroyed)</t>
        </is>
      </c>
      <c r="O376" t="inlineStr">
        <is>
          <t>One secretly named group of yours; the group that destroys it</t>
        </is>
      </c>
      <c r="P376" t="inlineStr">
        <is>
          <t>None</t>
        </is>
      </c>
      <c r="Q376" t="inlineStr">
        <is>
          <t>Permanent while in play</t>
        </is>
      </c>
      <c r="R376" t="inlineStr">
        <is>
          <t>On destruction of named group: destroying group destroyed (or, if Illuminati, its owner loses a group of their choice); counts for your Goals; may name a new group</t>
        </is>
      </c>
      <c r="S376" t="inlineStr">
        <is>
          <t>NO</t>
        </is>
      </c>
      <c r="T376" t="inlineStr">
        <is>
          <t>N/A</t>
        </is>
      </c>
      <c r="U376" t="inlineStr">
        <is>
          <t>N/A</t>
        </is>
      </c>
      <c r="V376" t="inlineStr">
        <is>
          <t>N/A — INWO uses Plots instead of group income/money</t>
        </is>
      </c>
      <c r="W376" t="inlineStr">
        <is>
          <t>No action</t>
        </is>
      </c>
      <c r="X376" t="inlineStr">
        <is>
          <t>Unique (Magic Artifact)</t>
        </is>
      </c>
      <c r="Y376" t="inlineStr">
        <is>
          <t>Must secretly designate one of your groups; may re-designate only on your turn</t>
        </is>
      </c>
      <c r="Z376" t="inlineStr">
        <is>
          <t>Standard response window</t>
        </is>
      </c>
      <c r="AA376" t="inlineStr">
        <is>
          <t>Specific card overrides general rules</t>
        </is>
      </c>
      <c r="AB376" t="inlineStr">
        <is>
          <t>Full card scan read; behaviour paraphrased (no card text copied)</t>
        </is>
      </c>
      <c r="AC376" t="inlineStr">
        <is>
          <t>FUNCTIONALLY COMPLETE</t>
        </is>
      </c>
      <c r="AD376" t="inlineStr">
        <is>
          <t>None</t>
        </is>
      </c>
      <c r="AE376" t="inlineStr">
        <is>
          <t>Card scan (GitHub: Cha0smagick/Virtual-Illuminati-New-World-order-INWO-game), read Sep 2026</t>
        </is>
      </c>
      <c r="AF376" t="inlineStr">
        <is>
          <t>N/A</t>
        </is>
      </c>
      <c r="AG376" t="inlineStr">
        <is>
          <t>N/A</t>
        </is>
      </c>
      <c r="AH376" t="inlineStr">
        <is>
          <t>N/A</t>
        </is>
      </c>
      <c r="AI376" t="inlineStr">
        <is>
          <t>N/A</t>
        </is>
      </c>
      <c r="AJ376" t="inlineStr">
        <is>
          <t>N/A</t>
        </is>
      </c>
      <c r="AK376" t="inlineStr">
        <is>
          <t>Official rules: non-Group card types do not use normal Group control-arrow geometry.</t>
        </is>
      </c>
    </row>
    <row r="377" ht="34" customHeight="1" s="16">
      <c r="A377" s="20" t="inlineStr">
        <is>
          <t>Bigfoot</t>
        </is>
      </c>
      <c r="B377" s="20" t="inlineStr">
        <is>
          <t>Resource</t>
        </is>
      </c>
      <c r="C377" s="20" t="str"/>
      <c r="D377" s="20" t="inlineStr">
        <is>
          <t>Common</t>
        </is>
      </c>
      <c r="E377" s="20" t="str"/>
      <c r="F377" s="20" t="str"/>
      <c r="G377" s="20" t="str"/>
      <c r="H377" s="20" t="str"/>
      <c r="I377" s="20" t="inlineStr">
        <is>
          <t>Has an action of its own, which it can spend to cancel an action made by a Media group. It also gives you +3 on any attempt to control a Green group.</t>
        </is>
      </c>
      <c r="J377" s="20" t="inlineStr">
        <is>
          <t>Needs rules-engine encoding</t>
        </is>
      </c>
      <c r="K377" s="20" t="inlineStr">
        <is>
          <t>High</t>
        </is>
      </c>
      <c r="L377" s="20" t="str"/>
      <c r="M377" s="20" t="inlineStr">
        <is>
          <t>https://github.com/Cha0smagick/Virtual-Illuminati-New-World-order-INWO-game</t>
        </is>
      </c>
      <c r="N377" t="inlineStr">
        <is>
          <t>Cancel: in response to a Media group's action; Bonus: passive on control attempts</t>
        </is>
      </c>
      <c r="O377" t="inlineStr">
        <is>
          <t>Any Media group's action; any attempt to control a Green group</t>
        </is>
      </c>
      <c r="P377" t="inlineStr">
        <is>
          <t>Bigfoot's action (for cancel); none for the +3</t>
        </is>
      </c>
      <c r="Q377" t="inlineStr">
        <is>
          <t>Cancel: immediate; bonus: permanent while in play</t>
        </is>
      </c>
      <c r="R377" t="inlineStr">
        <is>
          <t>Cancel 1 Media group action; +3 to attempts to control Green groups</t>
        </is>
      </c>
      <c r="S377" t="inlineStr">
        <is>
          <t>NO</t>
        </is>
      </c>
      <c r="T377" t="inlineStr">
        <is>
          <t>N/A</t>
        </is>
      </c>
      <c r="U377" t="inlineStr">
        <is>
          <t>N/A</t>
        </is>
      </c>
      <c r="V377" t="inlineStr">
        <is>
          <t>N/A — INWO uses Plots instead of group income/money</t>
        </is>
      </c>
      <c r="W377" t="inlineStr">
        <is>
          <t>Has its own action</t>
        </is>
      </c>
      <c r="X377" t="inlineStr">
        <is>
          <t>Unique</t>
        </is>
      </c>
      <c r="Y377" t="inlineStr">
        <is>
          <t>None beyond base rules</t>
        </is>
      </c>
      <c r="Z377" t="inlineStr">
        <is>
          <t>Standard response window</t>
        </is>
      </c>
      <c r="AA377" t="inlineStr">
        <is>
          <t>Specific card overrides general rules</t>
        </is>
      </c>
      <c r="AB377" t="inlineStr">
        <is>
          <t>Full card scan read; behaviour paraphrased (no card text copied)</t>
        </is>
      </c>
      <c r="AC377" t="inlineStr">
        <is>
          <t>FUNCTIONALLY COMPLETE</t>
        </is>
      </c>
      <c r="AD377" t="inlineStr">
        <is>
          <t>None</t>
        </is>
      </c>
      <c r="AE377" t="inlineStr">
        <is>
          <t>Card scan (GitHub: Cha0smagick/Virtual-Illuminati-New-World-order-INWO-game), read Sep 2026</t>
        </is>
      </c>
      <c r="AF377" t="inlineStr">
        <is>
          <t>N/A</t>
        </is>
      </c>
      <c r="AG377" t="inlineStr">
        <is>
          <t>N/A</t>
        </is>
      </c>
      <c r="AH377" t="inlineStr">
        <is>
          <t>N/A</t>
        </is>
      </c>
      <c r="AI377" t="inlineStr">
        <is>
          <t>N/A</t>
        </is>
      </c>
      <c r="AJ377" t="inlineStr">
        <is>
          <t>N/A</t>
        </is>
      </c>
      <c r="AK377" t="inlineStr">
        <is>
          <t>Official rules: non-Group card types do not use normal Group control-arrow geometry.</t>
        </is>
      </c>
    </row>
    <row r="378" ht="34" customHeight="1" s="16">
      <c r="A378" s="20" t="inlineStr">
        <is>
          <t>Book of Kells</t>
        </is>
      </c>
      <c r="B378" s="20" t="inlineStr">
        <is>
          <t>Resource</t>
        </is>
      </c>
      <c r="C378" s="20" t="str"/>
      <c r="D378" s="20" t="inlineStr">
        <is>
          <t>Uncommon</t>
        </is>
      </c>
      <c r="E378" s="20" t="str"/>
      <c r="F378" s="20" t="str"/>
      <c r="G378" s="20" t="str"/>
      <c r="H378" s="20" t="str"/>
      <c r="I378" s="20" t="inlineStr">
        <is>
          <t>Pick one: +1 to the owning Illuminati's Power and Global Power; or, when linked to a Magic group, that group may take two actions per turn provided none of them is an Attack to Destroy.</t>
        </is>
      </c>
      <c r="J378" s="20" t="inlineStr">
        <is>
          <t>Needs rules-engine encoding</t>
        </is>
      </c>
      <c r="K378" s="20" t="inlineStr">
        <is>
          <t>High</t>
        </is>
      </c>
      <c r="L378" s="20" t="inlineStr">
        <is>
          <t>Effects are alternatives: the Illuminati bonus applies only when not linked to a Magic group.</t>
        </is>
      </c>
      <c r="M378" s="20" t="inlineStr">
        <is>
          <t>https://github.com/Cha0smagick/Virtual-Illuminati-New-World-order-INWO-game</t>
        </is>
      </c>
      <c r="N378" t="inlineStr">
        <is>
          <t>Passive while in play</t>
        </is>
      </c>
      <c r="O378" t="inlineStr">
        <is>
          <t>Your Illuminati, or a linked Magic group</t>
        </is>
      </c>
      <c r="P378" t="inlineStr">
        <is>
          <t>None</t>
        </is>
      </c>
      <c r="Q378" t="inlineStr">
        <is>
          <t>Permanent while in play</t>
        </is>
      </c>
      <c r="R378" t="inlineStr">
        <is>
          <t>Unlinked: Illuminati +1 Power and +1 Global Power; linked to Magic group: that group gets 2 actions/turn, neither may be an Attack to Destroy</t>
        </is>
      </c>
      <c r="S378" t="inlineStr">
        <is>
          <t>NO</t>
        </is>
      </c>
      <c r="T378" t="inlineStr">
        <is>
          <t>N/A</t>
        </is>
      </c>
      <c r="U378" t="inlineStr">
        <is>
          <t>N/A</t>
        </is>
      </c>
      <c r="V378" t="inlineStr">
        <is>
          <t>N/A — INWO uses Plots instead of group income/money</t>
        </is>
      </c>
      <c r="W378" t="inlineStr">
        <is>
          <t>No action (can grant a linked Magic group a second action)</t>
        </is>
      </c>
      <c r="X378" t="inlineStr">
        <is>
          <t>Unique (Magic Artifact)</t>
        </is>
      </c>
      <c r="Y378" t="inlineStr">
        <is>
          <t>None beyond base rules</t>
        </is>
      </c>
      <c r="Z378" t="inlineStr">
        <is>
          <t>Standard response window</t>
        </is>
      </c>
      <c r="AA378" t="inlineStr">
        <is>
          <t>Specific card overrides general rules</t>
        </is>
      </c>
      <c r="AB378" t="inlineStr">
        <is>
          <t>Full card scan read; behaviour paraphrased (no card text copied)</t>
        </is>
      </c>
      <c r="AC378" t="inlineStr">
        <is>
          <t>FUNCTIONALLY COMPLETE</t>
        </is>
      </c>
      <c r="AD378" t="inlineStr">
        <is>
          <t>None</t>
        </is>
      </c>
      <c r="AE378" t="inlineStr">
        <is>
          <t>Card scan (GitHub: Cha0smagick/Virtual-Illuminati-New-World-order-INWO-game), read Sep 2026</t>
        </is>
      </c>
      <c r="AF378" t="inlineStr">
        <is>
          <t>N/A</t>
        </is>
      </c>
      <c r="AG378" t="inlineStr">
        <is>
          <t>N/A</t>
        </is>
      </c>
      <c r="AH378" t="inlineStr">
        <is>
          <t>N/A</t>
        </is>
      </c>
      <c r="AI378" t="inlineStr">
        <is>
          <t>N/A</t>
        </is>
      </c>
      <c r="AJ378" t="inlineStr">
        <is>
          <t>N/A</t>
        </is>
      </c>
      <c r="AK378" t="inlineStr">
        <is>
          <t>Official rules: non-Group card types do not use normal Group control-arrow geometry.</t>
        </is>
      </c>
    </row>
    <row r="379" ht="34" customHeight="1" s="16">
      <c r="A379" s="20" t="inlineStr">
        <is>
          <t>Center for Weird Studies</t>
        </is>
      </c>
      <c r="B379" s="20" t="inlineStr">
        <is>
          <t>Resource</t>
        </is>
      </c>
      <c r="C379" s="20" t="str"/>
      <c r="D379" s="20" t="inlineStr">
        <is>
          <t>Common</t>
        </is>
      </c>
      <c r="E379" s="20" t="str"/>
      <c r="F379" s="20" t="str"/>
      <c r="G379" s="20" t="str"/>
      <c r="H379" s="20" t="str"/>
      <c r="I379" s="20" t="inlineStr">
        <is>
          <t>Once during each of your turns, discard a Plot card to give an extra Action token to a Group or Resource of yours that has already acted. A group still cannot add its Power to one attack twice.</t>
        </is>
      </c>
      <c r="J379" s="20" t="inlineStr">
        <is>
          <t>Needs rules-engine encoding</t>
        </is>
      </c>
      <c r="K379" s="20" t="inlineStr">
        <is>
          <t>High</t>
        </is>
      </c>
      <c r="L379" s="20" t="str"/>
      <c r="M379" s="20" t="inlineStr">
        <is>
          <t>https://github.com/Cha0smagick/Virtual-Illuminati-New-World-order-INWO-game</t>
        </is>
      </c>
      <c r="N379" t="inlineStr">
        <is>
          <t>Your turn, once per turn</t>
        </is>
      </c>
      <c r="O379" t="inlineStr">
        <is>
          <t>A Group or Resource you control whose action is already spent</t>
        </is>
      </c>
      <c r="P379" t="inlineStr">
        <is>
          <t>Discard 1 Plot card</t>
        </is>
      </c>
      <c r="Q379" t="inlineStr">
        <is>
          <t>Current turn</t>
        </is>
      </c>
      <c r="R379" t="inlineStr">
        <is>
          <t>+1 Action token to a spent Group/Resource; cannot add Power twice to one attack</t>
        </is>
      </c>
      <c r="S379" t="inlineStr">
        <is>
          <t>NO</t>
        </is>
      </c>
      <c r="T379" t="inlineStr">
        <is>
          <t>N/A</t>
        </is>
      </c>
      <c r="U379" t="inlineStr">
        <is>
          <t>N/A</t>
        </is>
      </c>
      <c r="V379" t="inlineStr">
        <is>
          <t>N/A — INWO uses Plots instead of group income/money</t>
        </is>
      </c>
      <c r="W379" t="inlineStr">
        <is>
          <t>No action</t>
        </is>
      </c>
      <c r="X379" t="inlineStr">
        <is>
          <t>Unique</t>
        </is>
      </c>
      <c r="Y379" t="inlineStr">
        <is>
          <t>Your turn; target must already have used its action; max once per turn</t>
        </is>
      </c>
      <c r="Z379" t="inlineStr">
        <is>
          <t>Standard response window</t>
        </is>
      </c>
      <c r="AA379" t="inlineStr">
        <is>
          <t>Specific card overrides general rules</t>
        </is>
      </c>
      <c r="AB379" t="inlineStr">
        <is>
          <t>Full card scan read; behaviour paraphrased (no card text copied)</t>
        </is>
      </c>
      <c r="AC379" t="inlineStr">
        <is>
          <t>FUNCTIONALLY COMPLETE</t>
        </is>
      </c>
      <c r="AD379" t="inlineStr">
        <is>
          <t>None</t>
        </is>
      </c>
      <c r="AE379" t="inlineStr">
        <is>
          <t>Card scan (GitHub: Cha0smagick/Virtual-Illuminati-New-World-order-INWO-game), read Sep 2026</t>
        </is>
      </c>
      <c r="AF379" t="inlineStr">
        <is>
          <t>N/A</t>
        </is>
      </c>
      <c r="AG379" t="inlineStr">
        <is>
          <t>N/A</t>
        </is>
      </c>
      <c r="AH379" t="inlineStr">
        <is>
          <t>N/A</t>
        </is>
      </c>
      <c r="AI379" t="inlineStr">
        <is>
          <t>N/A</t>
        </is>
      </c>
      <c r="AJ379" t="inlineStr">
        <is>
          <t>N/A</t>
        </is>
      </c>
      <c r="AK379" t="inlineStr">
        <is>
          <t>Official rules: non-Group card types do not use normal Group control-arrow geometry.</t>
        </is>
      </c>
    </row>
    <row r="380" ht="34" customHeight="1" s="16">
      <c r="A380" s="20" t="inlineStr">
        <is>
          <t>Clipper Chip</t>
        </is>
      </c>
      <c r="B380" s="20" t="inlineStr">
        <is>
          <t>Resource</t>
        </is>
      </c>
      <c r="C380" s="20" t="str"/>
      <c r="D380" s="20" t="inlineStr">
        <is>
          <t>Common</t>
        </is>
      </c>
      <c r="E380" s="20" t="str"/>
      <c r="F380" s="20" t="str"/>
      <c r="G380" s="20" t="str"/>
      <c r="H380" s="20" t="str"/>
      <c r="I380" s="20" t="inlineStr">
        <is>
          <t>All Government groups in your Power Structure get +2 Power, and you are completely immune to the Phone Phreaks. If you ever control no Government groups, this Resource must be discarded. Each player may have at most one (errata applied).</t>
        </is>
      </c>
      <c r="J380" s="20" t="inlineStr">
        <is>
          <t>Needs rules-engine encoding</t>
        </is>
      </c>
      <c r="K380" s="20" t="inlineStr">
        <is>
          <t>High</t>
        </is>
      </c>
      <c r="L380" s="20" t="inlineStr">
        <is>
          <t>Phone Phreaks immunity refers to the Phone Phreaks group card.</t>
        </is>
      </c>
      <c r="M380" s="20" t="inlineStr">
        <is>
          <t>https://github.com/Cha0smagick/Virtual-Illuminati-New-World-order-INWO-game</t>
        </is>
      </c>
      <c r="N380" t="inlineStr">
        <is>
          <t>Passive while in play</t>
        </is>
      </c>
      <c r="O380" t="inlineStr">
        <is>
          <t>All Government groups in your Power Structure</t>
        </is>
      </c>
      <c r="P380" t="inlineStr">
        <is>
          <t>None</t>
        </is>
      </c>
      <c r="Q380" t="inlineStr">
        <is>
          <t>Permanent while in play (discarded if you have no Government groups)</t>
        </is>
      </c>
      <c r="R380" t="inlineStr">
        <is>
          <t>+2 Power to your Government groups; immunity to Phone Phreaks; self-discard when you have 0 Government groups</t>
        </is>
      </c>
      <c r="S380" t="inlineStr">
        <is>
          <t>NO</t>
        </is>
      </c>
      <c r="T380" t="inlineStr">
        <is>
          <t>N/A</t>
        </is>
      </c>
      <c r="U380" t="inlineStr">
        <is>
          <t>N/A</t>
        </is>
      </c>
      <c r="V380" t="inlineStr">
        <is>
          <t>N/A — INWO uses Plots instead of group income/money</t>
        </is>
      </c>
      <c r="W380" t="inlineStr">
        <is>
          <t>No action</t>
        </is>
      </c>
      <c r="X380" t="inlineStr">
        <is>
          <t>Maximum one per player (errata)</t>
        </is>
      </c>
      <c r="Y380" t="inlineStr">
        <is>
          <t>None beyond base rules</t>
        </is>
      </c>
      <c r="Z380" t="inlineStr">
        <is>
          <t>Standard response window</t>
        </is>
      </c>
      <c r="AA380" t="inlineStr">
        <is>
          <t>Specific card overrides general rules</t>
        </is>
      </c>
      <c r="AB380" t="inlineStr">
        <is>
          <t>Full card scan read; behaviour paraphrased (no card text copied)</t>
        </is>
      </c>
      <c r="AC380" t="inlineStr">
        <is>
          <t>FUNCTIONALLY COMPLETE</t>
        </is>
      </c>
      <c r="AD380" t="inlineStr">
        <is>
          <t>None</t>
        </is>
      </c>
      <c r="AE380" t="inlineStr">
        <is>
          <t>Card scan (GitHub: Cha0smagick/Virtual-Illuminati-New-World-order-INWO-game), read Sep 2026</t>
        </is>
      </c>
      <c r="AF380" t="inlineStr">
        <is>
          <t>N/A</t>
        </is>
      </c>
      <c r="AG380" t="inlineStr">
        <is>
          <t>N/A</t>
        </is>
      </c>
      <c r="AH380" t="inlineStr">
        <is>
          <t>N/A</t>
        </is>
      </c>
      <c r="AI380" t="inlineStr">
        <is>
          <t>N/A</t>
        </is>
      </c>
      <c r="AJ380" t="inlineStr">
        <is>
          <t>N/A</t>
        </is>
      </c>
      <c r="AK380" t="inlineStr">
        <is>
          <t>Official rules: non-Group card types do not use normal Group control-arrow geometry.</t>
        </is>
      </c>
    </row>
    <row r="381" ht="34" customHeight="1" s="16">
      <c r="A381" s="20" t="inlineStr">
        <is>
          <t>Crystal Skull</t>
        </is>
      </c>
      <c r="B381" s="20" t="inlineStr">
        <is>
          <t>Resource</t>
        </is>
      </c>
      <c r="C381" s="20" t="str"/>
      <c r="D381" s="20" t="inlineStr">
        <is>
          <t>Rare</t>
        </is>
      </c>
      <c r="E381" s="20" t="str"/>
      <c r="F381" s="20" t="str"/>
      <c r="G381" s="20" t="str"/>
      <c r="H381" s="20" t="str"/>
      <c r="I381" s="20" t="inlineStr">
        <is>
          <t>Each time you draw a Plot card, view the top three cards of your Plot deck and keep your pick. Put each of the others on the top or the bottom of the deck before your next draw.</t>
        </is>
      </c>
      <c r="J381" s="20" t="inlineStr">
        <is>
          <t>Needs rules-engine encoding</t>
        </is>
      </c>
      <c r="K381" s="20" t="inlineStr">
        <is>
          <t>High</t>
        </is>
      </c>
      <c r="L381" s="20" t="inlineStr">
        <is>
          <t>Card does not say whether the other two must go together or can be split between top and bottom; literal reading allows either placement.</t>
        </is>
      </c>
      <c r="M381" s="20" t="inlineStr">
        <is>
          <t>https://github.com/Cha0smagick/Virtual-Illuminati-New-World-order-INWO-game</t>
        </is>
      </c>
      <c r="N381" t="inlineStr">
        <is>
          <t>Whenever you draw a Plot card</t>
        </is>
      </c>
      <c r="O381" t="inlineStr">
        <is>
          <t>Your Plot deck</t>
        </is>
      </c>
      <c r="P381" t="inlineStr">
        <is>
          <t>None</t>
        </is>
      </c>
      <c r="Q381" t="inlineStr">
        <is>
          <t>Permanent while in play</t>
        </is>
      </c>
      <c r="R381" t="inlineStr">
        <is>
          <t>Plot draw: view top 3, keep 1, place other 2 on top or bottom</t>
        </is>
      </c>
      <c r="S381" t="inlineStr">
        <is>
          <t>NO</t>
        </is>
      </c>
      <c r="T381" t="inlineStr">
        <is>
          <t>N/A</t>
        </is>
      </c>
      <c r="U381" t="inlineStr">
        <is>
          <t>N/A</t>
        </is>
      </c>
      <c r="V381" t="inlineStr">
        <is>
          <t>N/A — INWO uses Plots instead of group income/money</t>
        </is>
      </c>
      <c r="W381" t="inlineStr">
        <is>
          <t>No action</t>
        </is>
      </c>
      <c r="X381" t="inlineStr">
        <is>
          <t>Unique (Magic Artifact)</t>
        </is>
      </c>
      <c r="Y381" t="inlineStr">
        <is>
          <t>None beyond base rules</t>
        </is>
      </c>
      <c r="Z381" t="inlineStr">
        <is>
          <t>Standard response window</t>
        </is>
      </c>
      <c r="AA381" t="inlineStr">
        <is>
          <t>Specific card overrides general rules</t>
        </is>
      </c>
      <c r="AB381" t="inlineStr">
        <is>
          <t>Full card scan read; behaviour paraphrased (no card text copied)</t>
        </is>
      </c>
      <c r="AC381" t="inlineStr">
        <is>
          <t>FUNCTIONALLY COMPLETE</t>
        </is>
      </c>
      <c r="AD381" t="inlineStr">
        <is>
          <t>None</t>
        </is>
      </c>
      <c r="AE381" t="inlineStr">
        <is>
          <t>Card scan (GitHub: Cha0smagick/Virtual-Illuminati-New-World-order-INWO-game), read Sep 2026</t>
        </is>
      </c>
      <c r="AF381" t="inlineStr">
        <is>
          <t>N/A</t>
        </is>
      </c>
      <c r="AG381" t="inlineStr">
        <is>
          <t>N/A</t>
        </is>
      </c>
      <c r="AH381" t="inlineStr">
        <is>
          <t>N/A</t>
        </is>
      </c>
      <c r="AI381" t="inlineStr">
        <is>
          <t>N/A</t>
        </is>
      </c>
      <c r="AJ381" t="inlineStr">
        <is>
          <t>N/A</t>
        </is>
      </c>
      <c r="AK381" t="inlineStr">
        <is>
          <t>Official rules: non-Group card types do not use normal Group control-arrow geometry.</t>
        </is>
      </c>
    </row>
    <row r="382" ht="34" customHeight="1" s="16">
      <c r="A382" s="20" t="inlineStr">
        <is>
          <t>Cyborg Soldiers</t>
        </is>
      </c>
      <c r="B382" s="20" t="inlineStr">
        <is>
          <t>Resource</t>
        </is>
      </c>
      <c r="C382" s="20" t="str"/>
      <c r="D382" s="20" t="inlineStr">
        <is>
          <t>Rare</t>
        </is>
      </c>
      <c r="E382" s="20" t="str"/>
      <c r="F382" s="20" t="str"/>
      <c r="G382" s="20" t="str"/>
      <c r="H382" s="20" t="str"/>
      <c r="I382" s="20" t="inlineStr">
        <is>
          <t>Link to a Violent group to double its Power. The Cyborg Soldiers go with that group if it is destroyed.</t>
        </is>
      </c>
      <c r="J382" s="20" t="inlineStr">
        <is>
          <t>Needs rules-engine encoding</t>
        </is>
      </c>
      <c r="K382" s="20" t="inlineStr">
        <is>
          <t>High</t>
        </is>
      </c>
      <c r="L382" s="20" t="inlineStr">
        <is>
          <t>Gadget; not marked Unique. Doubling applies to regular Power (card does not mention Global Power).</t>
        </is>
      </c>
      <c r="M382" s="20" t="inlineStr">
        <is>
          <t>https://github.com/Cha0smagick/Virtual-Illuminati-New-World-order-INWO-game</t>
        </is>
      </c>
      <c r="N382" t="inlineStr">
        <is>
          <t>Passive while in play</t>
        </is>
      </c>
      <c r="O382" t="inlineStr">
        <is>
          <t>Linked Violent group</t>
        </is>
      </c>
      <c r="P382" t="inlineStr">
        <is>
          <t>None</t>
        </is>
      </c>
      <c r="Q382" t="inlineStr">
        <is>
          <t>Permanent while linked</t>
        </is>
      </c>
      <c r="R382" t="inlineStr">
        <is>
          <t>Linked Violent group Power x2; lost when that group is destroyed</t>
        </is>
      </c>
      <c r="S382" t="inlineStr">
        <is>
          <t>NO</t>
        </is>
      </c>
      <c r="T382" t="inlineStr">
        <is>
          <t>N/A</t>
        </is>
      </c>
      <c r="U382" t="inlineStr">
        <is>
          <t>N/A</t>
        </is>
      </c>
      <c r="V382" t="inlineStr">
        <is>
          <t>N/A — INWO uses Plots instead of group income/money</t>
        </is>
      </c>
      <c r="W382" t="inlineStr">
        <is>
          <t>No action</t>
        </is>
      </c>
      <c r="X382" t="inlineStr">
        <is>
          <t>No card-specific limit (base duplicate rules apply)</t>
        </is>
      </c>
      <c r="Y382" t="inlineStr">
        <is>
          <t>Must be linked to a Violent group</t>
        </is>
      </c>
      <c r="Z382" t="inlineStr">
        <is>
          <t>Standard response window</t>
        </is>
      </c>
      <c r="AA382" t="inlineStr">
        <is>
          <t>Specific card overrides general rules</t>
        </is>
      </c>
      <c r="AB382" t="inlineStr">
        <is>
          <t>Full card scan read; behaviour paraphrased (no card text copied)</t>
        </is>
      </c>
      <c r="AC382" t="inlineStr">
        <is>
          <t>FUNCTIONALLY COMPLETE</t>
        </is>
      </c>
      <c r="AD382" t="inlineStr">
        <is>
          <t>None</t>
        </is>
      </c>
      <c r="AE382" t="inlineStr">
        <is>
          <t>Card scan (GitHub: Cha0smagick/Virtual-Illuminati-New-World-order-INWO-game), read Sep 2026</t>
        </is>
      </c>
      <c r="AF382" t="inlineStr">
        <is>
          <t>N/A</t>
        </is>
      </c>
      <c r="AG382" t="inlineStr">
        <is>
          <t>N/A</t>
        </is>
      </c>
      <c r="AH382" t="inlineStr">
        <is>
          <t>N/A</t>
        </is>
      </c>
      <c r="AI382" t="inlineStr">
        <is>
          <t>N/A</t>
        </is>
      </c>
      <c r="AJ382" t="inlineStr">
        <is>
          <t>N/A</t>
        </is>
      </c>
      <c r="AK382" t="inlineStr">
        <is>
          <t>Official rules: non-Group card types do not use normal Group control-arrow geometry.</t>
        </is>
      </c>
    </row>
    <row r="383" ht="34" customHeight="1" s="16">
      <c r="A383" s="20" t="inlineStr">
        <is>
          <t>Death Mask</t>
        </is>
      </c>
      <c r="B383" s="20" t="inlineStr">
        <is>
          <t>Resource</t>
        </is>
      </c>
      <c r="C383" s="20" t="str"/>
      <c r="D383" s="20" t="inlineStr">
        <is>
          <t>Uncommon</t>
        </is>
      </c>
      <c r="E383" s="20" t="str"/>
      <c r="F383" s="20" t="str"/>
      <c r="G383" s="20" t="str"/>
      <c r="H383" s="20" t="str"/>
      <c r="I383" s="20" t="inlineStr">
        <is>
          <t>Link to any Magic group. That group may spend its action to join any attack after the dice have been rolled, as long as it would normally have been allowed to join. If its added Power changes the outcome, the new result applies.</t>
        </is>
      </c>
      <c r="J383" s="20" t="inlineStr">
        <is>
          <t>Needs rules-engine encoding</t>
        </is>
      </c>
      <c r="K383" s="20" t="inlineStr">
        <is>
          <t>High</t>
        </is>
      </c>
      <c r="L383" s="20" t="str"/>
      <c r="M383" s="20" t="inlineStr">
        <is>
          <t>https://github.com/Cha0smagick/Virtual-Illuminati-New-World-order-INWO-game</t>
        </is>
      </c>
      <c r="N383" t="inlineStr">
        <is>
          <t>After dice are rolled in an attack</t>
        </is>
      </c>
      <c r="O383" t="inlineStr">
        <is>
          <t>Any attack the linked Magic group could normally aid</t>
        </is>
      </c>
      <c r="P383" t="inlineStr">
        <is>
          <t>Action of the linked Magic group</t>
        </is>
      </c>
      <c r="Q383" t="inlineStr">
        <is>
          <t>That attack</t>
        </is>
      </c>
      <c r="R383" t="inlineStr">
        <is>
          <t>Linked group may add its Power after the roll; result recalculated</t>
        </is>
      </c>
      <c r="S383" t="inlineStr">
        <is>
          <t>NO</t>
        </is>
      </c>
      <c r="T383" t="inlineStr">
        <is>
          <t>N/A</t>
        </is>
      </c>
      <c r="U383" t="inlineStr">
        <is>
          <t>N/A</t>
        </is>
      </c>
      <c r="V383" t="inlineStr">
        <is>
          <t>N/A — INWO uses Plots instead of group income/money</t>
        </is>
      </c>
      <c r="W383" t="inlineStr">
        <is>
          <t>No action (uses linked group's action)</t>
        </is>
      </c>
      <c r="X383" t="inlineStr">
        <is>
          <t>Unique (Magic Artifact)</t>
        </is>
      </c>
      <c r="Y383" t="inlineStr">
        <is>
          <t>Must be linked to a Magic group; group must have been eligible to join the attack normally</t>
        </is>
      </c>
      <c r="Z383" t="inlineStr">
        <is>
          <t>Allows the linked group to act after the roll, outside the normal pre-roll window</t>
        </is>
      </c>
      <c r="AA383" t="inlineStr">
        <is>
          <t>Specific card overrides general rules</t>
        </is>
      </c>
      <c r="AB383" t="inlineStr">
        <is>
          <t>Full card scan read; behaviour paraphrased (no card text copied)</t>
        </is>
      </c>
      <c r="AC383" t="inlineStr">
        <is>
          <t>FUNCTIONALLY COMPLETE</t>
        </is>
      </c>
      <c r="AD383" t="inlineStr">
        <is>
          <t>None</t>
        </is>
      </c>
      <c r="AE383" t="inlineStr">
        <is>
          <t>Card scan (GitHub: Cha0smagick/Virtual-Illuminati-New-World-order-INWO-game), read Sep 2026</t>
        </is>
      </c>
      <c r="AF383" t="inlineStr">
        <is>
          <t>N/A</t>
        </is>
      </c>
      <c r="AG383" t="inlineStr">
        <is>
          <t>N/A</t>
        </is>
      </c>
      <c r="AH383" t="inlineStr">
        <is>
          <t>N/A</t>
        </is>
      </c>
      <c r="AI383" t="inlineStr">
        <is>
          <t>N/A</t>
        </is>
      </c>
      <c r="AJ383" t="inlineStr">
        <is>
          <t>N/A</t>
        </is>
      </c>
      <c r="AK383" t="inlineStr">
        <is>
          <t>Official rules: non-Group card types do not use normal Group control-arrow geometry.</t>
        </is>
      </c>
    </row>
    <row r="384" ht="34" customHeight="1" s="16">
      <c r="A384" s="20" t="inlineStr">
        <is>
          <t>Earthquake Projector</t>
        </is>
      </c>
      <c r="B384" s="20" t="inlineStr">
        <is>
          <t>Resource</t>
        </is>
      </c>
      <c r="C384" s="20" t="str"/>
      <c r="D384" s="20" t="inlineStr">
        <is>
          <t>Common</t>
        </is>
      </c>
      <c r="E384" s="20" t="str"/>
      <c r="F384" s="20" t="str"/>
      <c r="G384" s="20" t="str"/>
      <c r="H384" s="20" t="str"/>
      <c r="I384" s="20" t="inlineStr">
        <is>
          <t>Has its own action, usable once per turn. It adds +2 Power to any Attack to Destroy a Place, or to any Disaster card.</t>
        </is>
      </c>
      <c r="J384" s="20" t="inlineStr">
        <is>
          <t>Needs rules-engine encoding</t>
        </is>
      </c>
      <c r="K384" s="20" t="inlineStr">
        <is>
          <t>High</t>
        </is>
      </c>
      <c r="L384" s="20" t="inlineStr">
        <is>
          <t>Gadget; not marked Unique.</t>
        </is>
      </c>
      <c r="M384" s="20" t="inlineStr">
        <is>
          <t>https://github.com/Cha0smagick/Virtual-Illuminati-New-World-order-INWO-game</t>
        </is>
      </c>
      <c r="N384" t="inlineStr">
        <is>
          <t>Once each turn, in an Attack to Destroy against a Place, or with a Disaster</t>
        </is>
      </c>
      <c r="O384" t="inlineStr">
        <is>
          <t>Any Attack to Destroy a Place, or any Disaster</t>
        </is>
      </c>
      <c r="P384" t="inlineStr">
        <is>
          <t>Earthquake Projector's action</t>
        </is>
      </c>
      <c r="Q384" t="inlineStr">
        <is>
          <t>That attack</t>
        </is>
      </c>
      <c r="R384" t="inlineStr">
        <is>
          <t>+2 Power for an Attack to Destroy against a Place, or for a Disaster</t>
        </is>
      </c>
      <c r="S384" t="inlineStr">
        <is>
          <t>NO</t>
        </is>
      </c>
      <c r="T384" t="inlineStr">
        <is>
          <t>N/A</t>
        </is>
      </c>
      <c r="U384" t="inlineStr">
        <is>
          <t>N/A</t>
        </is>
      </c>
      <c r="V384" t="inlineStr">
        <is>
          <t>N/A — INWO uses Plots instead of group income/money</t>
        </is>
      </c>
      <c r="W384" t="inlineStr">
        <is>
          <t>Has its own action</t>
        </is>
      </c>
      <c r="X384" t="inlineStr">
        <is>
          <t>No card-specific limit (base duplicate rules apply)</t>
        </is>
      </c>
      <c r="Y384" t="inlineStr">
        <is>
          <t>None beyond base rules</t>
        </is>
      </c>
      <c r="Z384" t="inlineStr">
        <is>
          <t>Standard response window</t>
        </is>
      </c>
      <c r="AA384" t="inlineStr">
        <is>
          <t>Specific card overrides general rules</t>
        </is>
      </c>
      <c r="AB384" t="inlineStr">
        <is>
          <t>Full card scan read; behaviour paraphrased (no card text copied)</t>
        </is>
      </c>
      <c r="AC384" t="inlineStr">
        <is>
          <t>FUNCTIONALLY COMPLETE</t>
        </is>
      </c>
      <c r="AD384" t="inlineStr">
        <is>
          <t>None</t>
        </is>
      </c>
      <c r="AE384" t="inlineStr">
        <is>
          <t>Card scan (GitHub: Cha0smagick/Virtual-Illuminati-New-World-order-INWO-game), read Sep 2026</t>
        </is>
      </c>
      <c r="AF384" t="inlineStr">
        <is>
          <t>N/A</t>
        </is>
      </c>
      <c r="AG384" t="inlineStr">
        <is>
          <t>N/A</t>
        </is>
      </c>
      <c r="AH384" t="inlineStr">
        <is>
          <t>N/A</t>
        </is>
      </c>
      <c r="AI384" t="inlineStr">
        <is>
          <t>N/A</t>
        </is>
      </c>
      <c r="AJ384" t="inlineStr">
        <is>
          <t>N/A</t>
        </is>
      </c>
      <c r="AK384" t="inlineStr">
        <is>
          <t>Official rules: non-Group card types do not use normal Group control-arrow geometry.</t>
        </is>
      </c>
    </row>
    <row r="385" ht="34" customHeight="1" s="16">
      <c r="A385" s="20" t="inlineStr">
        <is>
          <t>Eliza</t>
        </is>
      </c>
      <c r="B385" s="20" t="inlineStr">
        <is>
          <t>Resource</t>
        </is>
      </c>
      <c r="C385" s="20" t="str"/>
      <c r="D385" s="20" t="inlineStr">
        <is>
          <t>Uncommon</t>
        </is>
      </c>
      <c r="E385" s="20" t="str"/>
      <c r="F385" s="20" t="str"/>
      <c r="G385" s="20" t="str"/>
      <c r="H385" s="20" t="str"/>
      <c r="I385" s="20" t="inlineStr">
        <is>
          <t>Link to the Network or a Computer group; that group gets one additional action per turn. If that additional action ever rolls 11 or 12, Eliza crashes: discard her and reveal every hidden Plot you hold. Maximum one per Group (errata applied).</t>
        </is>
      </c>
      <c r="J385" s="20" t="inlineStr">
        <is>
          <t>Needs rules-engine encoding</t>
        </is>
      </c>
      <c r="K385" s="20" t="inlineStr">
        <is>
          <t>High</t>
        </is>
      </c>
      <c r="L385" s="20" t="str"/>
      <c r="M385" s="20" t="inlineStr">
        <is>
          <t>https://github.com/Cha0smagick/Virtual-Illuminati-New-World-order-INWO-game</t>
        </is>
      </c>
      <c r="N385" t="inlineStr">
        <is>
          <t>Passive while in play (extra action each turn)</t>
        </is>
      </c>
      <c r="O385" t="inlineStr">
        <is>
          <t>Linked Computer group or the Network</t>
        </is>
      </c>
      <c r="P385" t="inlineStr">
        <is>
          <t>None</t>
        </is>
      </c>
      <c r="Q385" t="inlineStr">
        <is>
          <t>Permanent while linked (until crash)</t>
        </is>
      </c>
      <c r="R385" t="inlineStr">
        <is>
          <t>Linked group +1 action per turn; if extra action rolls 11 or 12: discard Eliza and expose all your hidden Plots</t>
        </is>
      </c>
      <c r="S385" t="inlineStr">
        <is>
          <t>NO</t>
        </is>
      </c>
      <c r="T385" t="inlineStr">
        <is>
          <t>N/A</t>
        </is>
      </c>
      <c r="U385" t="inlineStr">
        <is>
          <t>N/A</t>
        </is>
      </c>
      <c r="V385" t="inlineStr">
        <is>
          <t>N/A — INWO uses Plots instead of group income/money</t>
        </is>
      </c>
      <c r="W385" t="inlineStr">
        <is>
          <t>No action (grants linked group an extra action)</t>
        </is>
      </c>
      <c r="X385" t="inlineStr">
        <is>
          <t>Gadget; maximum one per Group (errata)</t>
        </is>
      </c>
      <c r="Y385" t="inlineStr">
        <is>
          <t>Must be linked to a Computer group or the Network</t>
        </is>
      </c>
      <c r="Z385" t="inlineStr">
        <is>
          <t>Standard response window</t>
        </is>
      </c>
      <c r="AA385" t="inlineStr">
        <is>
          <t>Specific card overrides general rules</t>
        </is>
      </c>
      <c r="AB385" t="inlineStr">
        <is>
          <t>Full card scan read; behaviour paraphrased (no card text copied)</t>
        </is>
      </c>
      <c r="AC385" t="inlineStr">
        <is>
          <t>FUNCTIONALLY COMPLETE</t>
        </is>
      </c>
      <c r="AD385" t="inlineStr">
        <is>
          <t>None</t>
        </is>
      </c>
      <c r="AE385" t="inlineStr">
        <is>
          <t>Card scan (GitHub: Cha0smagick/Virtual-Illuminati-New-World-order-INWO-game), read Sep 2026</t>
        </is>
      </c>
      <c r="AF385" t="inlineStr">
        <is>
          <t>N/A</t>
        </is>
      </c>
      <c r="AG385" t="inlineStr">
        <is>
          <t>N/A</t>
        </is>
      </c>
      <c r="AH385" t="inlineStr">
        <is>
          <t>N/A</t>
        </is>
      </c>
      <c r="AI385" t="inlineStr">
        <is>
          <t>N/A</t>
        </is>
      </c>
      <c r="AJ385" t="inlineStr">
        <is>
          <t>N/A</t>
        </is>
      </c>
      <c r="AK385" t="inlineStr">
        <is>
          <t>Official rules: non-Group card types do not use normal Group control-arrow geometry.</t>
        </is>
      </c>
    </row>
    <row r="386" ht="34" customHeight="1" s="16">
      <c r="A386" s="20" t="inlineStr">
        <is>
          <t>Flying Saucer</t>
        </is>
      </c>
      <c r="B386" s="20" t="inlineStr">
        <is>
          <t>Resource</t>
        </is>
      </c>
      <c r="C386" s="20" t="str"/>
      <c r="D386" s="20" t="inlineStr">
        <is>
          <t>Common</t>
        </is>
      </c>
      <c r="E386" s="20" t="str"/>
      <c r="F386" s="20" t="str"/>
      <c r="G386" s="20" t="str"/>
      <c r="H386" s="20" t="str"/>
      <c r="I386" s="20" t="inlineStr">
        <is>
          <t>Linked to a Personality: +10 against destruction or Assassination and is captured/destroyed with that Personality. Unlinked: grants one extra automatic Resource takeover each turn, costing the top undrawn Plot card.</t>
        </is>
      </c>
      <c r="J386" s="20" t="inlineStr">
        <is>
          <t>Needs rules-engine encoding</t>
        </is>
      </c>
      <c r="K386" s="20" t="inlineStr">
        <is>
          <t>High</t>
        </is>
      </c>
      <c r="L386" s="20" t="inlineStr">
        <is>
          <t>Mechanics checked against the printed card; described in our own words.</t>
        </is>
      </c>
      <c r="M386" s="20" t="inlineStr">
        <is>
          <t>https://www.scribd.com/document/851089808/TheINWOBook</t>
        </is>
      </c>
      <c r="N386" t="inlineStr">
        <is>
          <t>Passive or activated</t>
        </is>
      </c>
      <c r="O386" t="inlineStr">
        <is>
          <t>Linked/eligible card or game state</t>
        </is>
      </c>
      <c r="Q386" t="inlineStr">
        <is>
          <t>While controlled unless effect says otherwise</t>
        </is>
      </c>
      <c r="R386" t="inlineStr">
        <is>
          <t>Linked to a Personality: +10 against destruction or Assassination and is captured/destroyed with that Personality. Unlinked: grants one extra automatic Resource takeover each turn, costing the top undrawn Plot card.</t>
        </is>
      </c>
      <c r="S386" t="inlineStr">
        <is>
          <t>NO</t>
        </is>
      </c>
      <c r="T386" t="inlineStr">
        <is>
          <t>N/A</t>
        </is>
      </c>
      <c r="U386" t="inlineStr">
        <is>
          <t>N/A</t>
        </is>
      </c>
      <c r="V386" t="inlineStr">
        <is>
          <t>N/A — INWO uses Plots instead of group income/money</t>
        </is>
      </c>
      <c r="W386" t="inlineStr">
        <is>
          <t>Standard: 1 action token (Illuminati: 1 Illuminati action); verified mechanics state no override</t>
        </is>
      </c>
      <c r="X386" t="inlineStr">
        <is>
          <t>Unique Gadget Artifact</t>
        </is>
      </c>
      <c r="Y386" t="inlineStr">
        <is>
          <t>None beyond base rules (verified mechanics state no override)</t>
        </is>
      </c>
      <c r="Z386" t="inlineStr">
        <is>
          <t>Standard response window (verified mechanics state no override)</t>
        </is>
      </c>
      <c r="AA386" t="inlineStr">
        <is>
          <t>Specific card overrides general rules</t>
        </is>
      </c>
      <c r="AB386" t="inlineStr">
        <is>
          <t>Indexed INWO Book, Resources pp. 96-97</t>
        </is>
      </c>
      <c r="AC386" t="inlineStr">
        <is>
          <t>FUNCTIONALLY COMPLETE</t>
        </is>
      </c>
      <c r="AE386" t="inlineStr">
        <is>
          <t>Indexed INWO Book / historical cross-check</t>
        </is>
      </c>
      <c r="AF386" t="inlineStr">
        <is>
          <t>N/A</t>
        </is>
      </c>
      <c r="AG386" t="inlineStr">
        <is>
          <t>N/A</t>
        </is>
      </c>
      <c r="AH386" t="inlineStr">
        <is>
          <t>N/A</t>
        </is>
      </c>
      <c r="AI386" t="inlineStr">
        <is>
          <t>N/A</t>
        </is>
      </c>
      <c r="AJ386" t="inlineStr">
        <is>
          <t>N/A</t>
        </is>
      </c>
      <c r="AK386" t="inlineStr">
        <is>
          <t>Official rules: non-Group card types do not use normal Group control-arrow geometry.</t>
        </is>
      </c>
    </row>
    <row r="387" ht="34" customHeight="1" s="16">
      <c r="A387" s="20" t="inlineStr">
        <is>
          <t>Hallucinations</t>
        </is>
      </c>
      <c r="B387" s="20" t="inlineStr">
        <is>
          <t>Resource</t>
        </is>
      </c>
      <c r="C387" s="20" t="str"/>
      <c r="D387" s="20" t="inlineStr">
        <is>
          <t>Common</t>
        </is>
      </c>
      <c r="E387" s="20" t="str"/>
      <c r="F387" s="20" t="str"/>
      <c r="G387" s="20" t="str"/>
      <c r="H387" s="20" t="str"/>
      <c r="I387" s="20" t="inlineStr">
        <is>
          <t>Has its own action, usable once per turn. Either cancel the action of any Personality, or give +3 to any attempt to destroy a Personality.</t>
        </is>
      </c>
      <c r="J387" s="20" t="inlineStr">
        <is>
          <t>Needs rules-engine encoding</t>
        </is>
      </c>
      <c r="K387" s="20" t="inlineStr">
        <is>
          <t>High</t>
        </is>
      </c>
      <c r="L387" s="20" t="inlineStr">
        <is>
          <t>Not marked Unique on the card.</t>
        </is>
      </c>
      <c r="M387" s="20" t="inlineStr">
        <is>
          <t>https://github.com/Cha0smagick/Virtual-Illuminati-New-World-order-INWO-game</t>
        </is>
      </c>
      <c r="N387" t="inlineStr">
        <is>
          <t>Once per turn; in response to a Personality's action or during an attempt to destroy a Personality</t>
        </is>
      </c>
      <c r="O387" t="inlineStr">
        <is>
          <t>Any Personality</t>
        </is>
      </c>
      <c r="P387" t="inlineStr">
        <is>
          <t>Hallucinations' action</t>
        </is>
      </c>
      <c r="Q387" t="inlineStr">
        <is>
          <t>Immediate / that attack</t>
        </is>
      </c>
      <c r="R387" t="inlineStr">
        <is>
          <t>Cancel 1 Personality's action OR +3 to destroy a Personality</t>
        </is>
      </c>
      <c r="S387" t="inlineStr">
        <is>
          <t>NO</t>
        </is>
      </c>
      <c r="T387" t="inlineStr">
        <is>
          <t>N/A</t>
        </is>
      </c>
      <c r="U387" t="inlineStr">
        <is>
          <t>N/A</t>
        </is>
      </c>
      <c r="V387" t="inlineStr">
        <is>
          <t>N/A — INWO uses Plots instead of group income/money</t>
        </is>
      </c>
      <c r="W387" t="inlineStr">
        <is>
          <t>Has its own action</t>
        </is>
      </c>
      <c r="X387" t="inlineStr">
        <is>
          <t>No card-specific limit (base duplicate rules apply)</t>
        </is>
      </c>
      <c r="Y387" t="inlineStr">
        <is>
          <t>None beyond base rules</t>
        </is>
      </c>
      <c r="Z387" t="inlineStr">
        <is>
          <t>Standard response window</t>
        </is>
      </c>
      <c r="AA387" t="inlineStr">
        <is>
          <t>Specific card overrides general rules</t>
        </is>
      </c>
      <c r="AB387" t="inlineStr">
        <is>
          <t>Full card scan read; behaviour paraphrased (no card text copied)</t>
        </is>
      </c>
      <c r="AC387" t="inlineStr">
        <is>
          <t>FUNCTIONALLY COMPLETE</t>
        </is>
      </c>
      <c r="AD387" t="inlineStr">
        <is>
          <t>None</t>
        </is>
      </c>
      <c r="AE387" t="inlineStr">
        <is>
          <t>Card scan (GitHub: Cha0smagick/Virtual-Illuminati-New-World-order-INWO-game), read Sep 2026</t>
        </is>
      </c>
      <c r="AF387" t="inlineStr">
        <is>
          <t>N/A</t>
        </is>
      </c>
      <c r="AG387" t="inlineStr">
        <is>
          <t>N/A</t>
        </is>
      </c>
      <c r="AH387" t="inlineStr">
        <is>
          <t>N/A</t>
        </is>
      </c>
      <c r="AI387" t="inlineStr">
        <is>
          <t>N/A</t>
        </is>
      </c>
      <c r="AJ387" t="inlineStr">
        <is>
          <t>N/A</t>
        </is>
      </c>
      <c r="AK387" t="inlineStr">
        <is>
          <t>Official rules: non-Group card types do not use normal Group control-arrow geometry.</t>
        </is>
      </c>
    </row>
    <row r="388" ht="34" customHeight="1" s="16">
      <c r="A388" s="20" t="inlineStr">
        <is>
          <t>Hammer of Thor</t>
        </is>
      </c>
      <c r="B388" s="20" t="inlineStr">
        <is>
          <t>Resource</t>
        </is>
      </c>
      <c r="C388" s="20" t="str"/>
      <c r="D388" s="20" t="inlineStr">
        <is>
          <t>Common</t>
        </is>
      </c>
      <c r="E388" s="20" t="str"/>
      <c r="F388" s="20" t="str"/>
      <c r="G388" s="20" t="str"/>
      <c r="H388" s="20" t="str"/>
      <c r="I388" s="20" t="inlineStr">
        <is>
          <t>Has its own action, usable once per turn. It adds +2 Power to any Government or Violent group, either when that group makes any attack or when it defends against an Attack to Destroy.</t>
        </is>
      </c>
      <c r="J388" s="20" t="inlineStr">
        <is>
          <t>Needs rules-engine encoding</t>
        </is>
      </c>
      <c r="K388" s="20" t="inlineStr">
        <is>
          <t>High</t>
        </is>
      </c>
      <c r="L388" s="20" t="inlineStr">
        <is>
          <t>Card says 'any' Government or Violent group; does not restrict to your own.</t>
        </is>
      </c>
      <c r="M388" s="20" t="inlineStr">
        <is>
          <t>https://github.com/Cha0smagick/Virtual-Illuminati-New-World-order-INWO-game</t>
        </is>
      </c>
      <c r="N388" t="inlineStr">
        <is>
          <t>Once per turn, during an attack or defense against an Attack to Destroy</t>
        </is>
      </c>
      <c r="O388" t="inlineStr">
        <is>
          <t>Any Government or Violent group</t>
        </is>
      </c>
      <c r="P388" t="inlineStr">
        <is>
          <t>Hammer of Thor's action</t>
        </is>
      </c>
      <c r="Q388" t="inlineStr">
        <is>
          <t>That attack/defense</t>
        </is>
      </c>
      <c r="R388" t="inlineStr">
        <is>
          <t>+2 Power to a Government or Violent group (any attack, or defense vs Attack to Destroy)</t>
        </is>
      </c>
      <c r="S388" t="inlineStr">
        <is>
          <t>NO</t>
        </is>
      </c>
      <c r="T388" t="inlineStr">
        <is>
          <t>N/A</t>
        </is>
      </c>
      <c r="U388" t="inlineStr">
        <is>
          <t>N/A</t>
        </is>
      </c>
      <c r="V388" t="inlineStr">
        <is>
          <t>N/A — INWO uses Plots instead of group income/money</t>
        </is>
      </c>
      <c r="W388" t="inlineStr">
        <is>
          <t>Has its own action</t>
        </is>
      </c>
      <c r="X388" t="inlineStr">
        <is>
          <t>Unique (Magic Artifact)</t>
        </is>
      </c>
      <c r="Y388" t="inlineStr">
        <is>
          <t>None beyond base rules</t>
        </is>
      </c>
      <c r="Z388" t="inlineStr">
        <is>
          <t>Standard response window</t>
        </is>
      </c>
      <c r="AA388" t="inlineStr">
        <is>
          <t>Specific card overrides general rules</t>
        </is>
      </c>
      <c r="AB388" t="inlineStr">
        <is>
          <t>Full card scan read; behaviour paraphrased (no card text copied)</t>
        </is>
      </c>
      <c r="AC388" t="inlineStr">
        <is>
          <t>FUNCTIONALLY COMPLETE</t>
        </is>
      </c>
      <c r="AD388" t="inlineStr">
        <is>
          <t>None</t>
        </is>
      </c>
      <c r="AE388" t="inlineStr">
        <is>
          <t>Card scan (GitHub: Cha0smagick/Virtual-Illuminati-New-World-order-INWO-game), read Sep 2026</t>
        </is>
      </c>
      <c r="AF388" t="inlineStr">
        <is>
          <t>N/A</t>
        </is>
      </c>
      <c r="AG388" t="inlineStr">
        <is>
          <t>N/A</t>
        </is>
      </c>
      <c r="AH388" t="inlineStr">
        <is>
          <t>N/A</t>
        </is>
      </c>
      <c r="AI388" t="inlineStr">
        <is>
          <t>N/A</t>
        </is>
      </c>
      <c r="AJ388" t="inlineStr">
        <is>
          <t>N/A</t>
        </is>
      </c>
      <c r="AK388" t="inlineStr">
        <is>
          <t>Official rules: non-Group card types do not use normal Group control-arrow geometry.</t>
        </is>
      </c>
    </row>
    <row r="389" ht="34" customHeight="1" s="16">
      <c r="A389" s="20" t="inlineStr">
        <is>
          <t>Hidden City</t>
        </is>
      </c>
      <c r="B389" s="20" t="inlineStr">
        <is>
          <t>Resource</t>
        </is>
      </c>
      <c r="C389" s="20" t="str"/>
      <c r="D389" s="20" t="inlineStr">
        <is>
          <t>Uncommon</t>
        </is>
      </c>
      <c r="E389" s="20" t="str"/>
      <c r="F389" s="20" t="str"/>
      <c r="G389" s="20" t="str"/>
      <c r="H389" s="20" t="str"/>
      <c r="I389" s="20" t="inlineStr">
        <is>
          <t>While you control it, your Illuminati gains +2 Power and +2 Global Power. It can be targeted by any Disaster card and is neither Huge nor Coastal; it defends in every respect as if it were a Place with Power 10, and it can never be Devastated. If it is destroyed, any player may bring another Hidden City into play.</t>
        </is>
      </c>
      <c r="J389" s="20" t="inlineStr">
        <is>
          <t>Needs rules-engine encoding</t>
        </is>
      </c>
      <c r="K389" s="20" t="inlineStr">
        <is>
          <t>High</t>
        </is>
      </c>
      <c r="L389" s="20" t="inlineStr">
        <is>
          <t>Since it cannot be Devastated, a successful Disaster presumably only matters if it achieves the destroy margin; card does not say explicitly.</t>
        </is>
      </c>
      <c r="M389" s="20" t="inlineStr">
        <is>
          <t>https://github.com/Cha0smagick/Virtual-Illuminati-New-World-order-INWO-game</t>
        </is>
      </c>
      <c r="N389" t="inlineStr">
        <is>
          <t>Passive while in play</t>
        </is>
      </c>
      <c r="O389" t="inlineStr">
        <is>
          <t>Your Illuminati; itself as a Disaster target</t>
        </is>
      </c>
      <c r="P389" t="inlineStr">
        <is>
          <t>None</t>
        </is>
      </c>
      <c r="Q389" t="inlineStr">
        <is>
          <t>Permanent while in play</t>
        </is>
      </c>
      <c r="R389" t="inlineStr">
        <is>
          <t>Illuminati +2 Power/+2 Global Power; attackable by any Disaster; defends as Place with Power 10; immune to Devastation; not Huge, not Coastal</t>
        </is>
      </c>
      <c r="S389" t="inlineStr">
        <is>
          <t>NO</t>
        </is>
      </c>
      <c r="T389" t="inlineStr">
        <is>
          <t>N/A</t>
        </is>
      </c>
      <c r="U389" t="inlineStr">
        <is>
          <t>N/A</t>
        </is>
      </c>
      <c r="V389" t="inlineStr">
        <is>
          <t>N/A — INWO uses Plots instead of group income/money</t>
        </is>
      </c>
      <c r="W389" t="inlineStr">
        <is>
          <t>No action</t>
        </is>
      </c>
      <c r="X389" t="inlineStr">
        <is>
          <t>Unique (another may be played by any player once it is destroyed)</t>
        </is>
      </c>
      <c r="Y389" t="inlineStr">
        <is>
          <t>None beyond base rules</t>
        </is>
      </c>
      <c r="Z389" t="inlineStr">
        <is>
          <t>Standard response window</t>
        </is>
      </c>
      <c r="AA389" t="inlineStr">
        <is>
          <t>Specific card overrides general rules</t>
        </is>
      </c>
      <c r="AB389" t="inlineStr">
        <is>
          <t>Full card scan read; behaviour paraphrased (no card text copied)</t>
        </is>
      </c>
      <c r="AC389" t="inlineStr">
        <is>
          <t>FUNCTIONALLY COMPLETE</t>
        </is>
      </c>
      <c r="AD389" t="inlineStr">
        <is>
          <t>None</t>
        </is>
      </c>
      <c r="AE389" t="inlineStr">
        <is>
          <t>Card scan (GitHub: Cha0smagick/Virtual-Illuminati-New-World-order-INWO-game), read Sep 2026</t>
        </is>
      </c>
      <c r="AF389" t="inlineStr">
        <is>
          <t>N/A</t>
        </is>
      </c>
      <c r="AG389" t="inlineStr">
        <is>
          <t>N/A</t>
        </is>
      </c>
      <c r="AH389" t="inlineStr">
        <is>
          <t>N/A</t>
        </is>
      </c>
      <c r="AI389" t="inlineStr">
        <is>
          <t>N/A</t>
        </is>
      </c>
      <c r="AJ389" t="inlineStr">
        <is>
          <t>N/A</t>
        </is>
      </c>
      <c r="AK389" t="inlineStr">
        <is>
          <t>Official rules: non-Group card types do not use normal Group control-arrow geometry.</t>
        </is>
      </c>
    </row>
    <row r="390" ht="34" customHeight="1" s="16">
      <c r="A390" s="20" t="inlineStr">
        <is>
          <t>Hitler's Brain</t>
        </is>
      </c>
      <c r="B390" s="20" t="inlineStr">
        <is>
          <t>Resource</t>
        </is>
      </c>
      <c r="C390" s="20" t="str"/>
      <c r="D390" s="20" t="inlineStr">
        <is>
          <t>Rare</t>
        </is>
      </c>
      <c r="E390" s="20" t="str"/>
      <c r="F390" s="20" t="str"/>
      <c r="G390" s="20" t="str"/>
      <c r="H390" s="20" t="str"/>
      <c r="I390" s="20" t="inlineStr">
        <is>
          <t>Whenever you destroy a group, choose: draw one extra Plot, or turn all of your exposed Plots face down again. As long as this Resource is yours, you cannot take control of Peaceful groups.</t>
        </is>
      </c>
      <c r="J390" s="20" t="inlineStr">
        <is>
          <t>Needs rules-engine encoding</t>
        </is>
      </c>
      <c r="K390" s="20" t="inlineStr">
        <is>
          <t>High</t>
        </is>
      </c>
      <c r="L390" s="20" t="inlineStr">
        <is>
          <t>The Peaceful restriction covers all control attempts, not just the ones this card helps.</t>
        </is>
      </c>
      <c r="M390" s="20" t="inlineStr">
        <is>
          <t>https://github.com/Cha0smagick/Virtual-Illuminati-New-World-order-INWO-game</t>
        </is>
      </c>
      <c r="N390" t="inlineStr">
        <is>
          <t>Passive while in play; bonus triggers whenever you destroy a group</t>
        </is>
      </c>
      <c r="O390" t="inlineStr">
        <is>
          <t>Owner (Plot draw / own exposed Plots); restriction applies to Peaceful groups</t>
        </is>
      </c>
      <c r="P390" t="inlineStr">
        <is>
          <t>None</t>
        </is>
      </c>
      <c r="Q390" t="inlineStr">
        <is>
          <t>Permanent while in play</t>
        </is>
      </c>
      <c r="R390" t="inlineStr">
        <is>
          <t>On destroying a group: choose draw 1 Plot OR hide all your exposed Plots; you cannot take control of Peaceful groups</t>
        </is>
      </c>
      <c r="S390" t="inlineStr">
        <is>
          <t>NO</t>
        </is>
      </c>
      <c r="T390" t="inlineStr">
        <is>
          <t>N/A</t>
        </is>
      </c>
      <c r="U390" t="inlineStr">
        <is>
          <t>N/A</t>
        </is>
      </c>
      <c r="V390" t="inlineStr">
        <is>
          <t>N/A — INWO uses Plots instead of group income/money</t>
        </is>
      </c>
      <c r="W390" t="inlineStr">
        <is>
          <t>No action</t>
        </is>
      </c>
      <c r="X390" t="inlineStr">
        <is>
          <t>Unique Artifact</t>
        </is>
      </c>
      <c r="Y390" t="inlineStr">
        <is>
          <t>None beyond base rules</t>
        </is>
      </c>
      <c r="Z390" t="inlineStr">
        <is>
          <t>Standard response window</t>
        </is>
      </c>
      <c r="AA390" t="inlineStr">
        <is>
          <t>Specific card overrides general rules</t>
        </is>
      </c>
      <c r="AB390" t="inlineStr">
        <is>
          <t>Full card scan read; behaviour paraphrased (no card text copied)</t>
        </is>
      </c>
      <c r="AC390" t="inlineStr">
        <is>
          <t>FUNCTIONALLY COMPLETE</t>
        </is>
      </c>
      <c r="AD390" t="inlineStr">
        <is>
          <t>None</t>
        </is>
      </c>
      <c r="AE390" t="inlineStr">
        <is>
          <t>Card scan (GitHub: Cha0smagick/Virtual-Illuminati-New-World-order-INWO-game), read Sep 2026</t>
        </is>
      </c>
      <c r="AF390" t="inlineStr">
        <is>
          <t>N/A</t>
        </is>
      </c>
      <c r="AG390" t="inlineStr">
        <is>
          <t>N/A</t>
        </is>
      </c>
      <c r="AH390" t="inlineStr">
        <is>
          <t>N/A</t>
        </is>
      </c>
      <c r="AI390" t="inlineStr">
        <is>
          <t>N/A</t>
        </is>
      </c>
      <c r="AJ390" t="inlineStr">
        <is>
          <t>N/A</t>
        </is>
      </c>
      <c r="AK390" t="inlineStr">
        <is>
          <t>Official rules: non-Group card types do not use normal Group control-arrow geometry.</t>
        </is>
      </c>
    </row>
    <row r="391" ht="34" customHeight="1" s="16">
      <c r="A391" s="20" t="inlineStr">
        <is>
          <t>Immortality Serum</t>
        </is>
      </c>
      <c r="B391" s="20" t="inlineStr">
        <is>
          <t>Resource</t>
        </is>
      </c>
      <c r="C391" s="20" t="str"/>
      <c r="D391" s="20" t="inlineStr">
        <is>
          <t>Rare</t>
        </is>
      </c>
      <c r="E391" s="20" t="str"/>
      <c r="F391" s="20" t="str"/>
      <c r="G391" s="20" t="str"/>
      <c r="H391" s="20" t="str"/>
      <c r="I391" s="20" t="inlineStr">
        <is>
          <t>Stays unlinked until used, and works for a single Personality. Either seize any Personality as soon as it is played (even from a rival's hand) without rolling and link the Serum to it, or link the Serum to a Personality you already control. That Personality can never be killed by any means, including the destruction of a Place it is linked to, and has +5 against normal Attacks to Destroy. If a rival captures the Personality, the Serum stays linked to it.</t>
        </is>
      </c>
      <c r="J391" s="20" t="inlineStr">
        <is>
          <t>Needs rules-engine encoding</t>
        </is>
      </c>
      <c r="K391" s="20" t="inlineStr">
        <is>
          <t>High</t>
        </is>
      </c>
      <c r="L391" s="20" t="inlineStr">
        <is>
          <t>Card is not marked Unique on its footer. Link persists through capture of the Personality.</t>
        </is>
      </c>
      <c r="M391" s="20" t="inlineStr">
        <is>
          <t>https://github.com/Cha0smagick/Virtual-Illuminati-New-World-order-INWO-game</t>
        </is>
      </c>
      <c r="N391" t="inlineStr">
        <is>
          <t>Use when any Personality is just played (by anyone), or at any time to link to a Personality you control</t>
        </is>
      </c>
      <c r="O391" t="inlineStr">
        <is>
          <t>One Personality: a just-played Personality from any player, or one you control</t>
        </is>
      </c>
      <c r="P391" t="inlineStr">
        <is>
          <t>None (one-time use; card becomes linked)</t>
        </is>
      </c>
      <c r="Q391" t="inlineStr">
        <is>
          <t>Permanent while linked</t>
        </is>
      </c>
      <c r="R391" t="inlineStr">
        <is>
          <t>Automatic takeover of just-played Personality (no roll); linked Personality cannot be killed/destroyed by any means; +5 vs ordinary attacks to destroy</t>
        </is>
      </c>
      <c r="S391" t="inlineStr">
        <is>
          <t>NO</t>
        </is>
      </c>
      <c r="T391" t="inlineStr">
        <is>
          <t>N/A</t>
        </is>
      </c>
      <c r="U391" t="inlineStr">
        <is>
          <t>N/A</t>
        </is>
      </c>
      <c r="V391" t="inlineStr">
        <is>
          <t>N/A — INWO uses Plots instead of group income/money</t>
        </is>
      </c>
      <c r="W391" t="inlineStr">
        <is>
          <t>No action</t>
        </is>
      </c>
      <c r="X391" t="inlineStr">
        <is>
          <t>No card-specific limit (base duplicate rules apply); single use for one Personality</t>
        </is>
      </c>
      <c r="Y391" t="inlineStr">
        <is>
          <t>Must remain unlinked until used; target must be a Personality</t>
        </is>
      </c>
      <c r="Z391" t="inlineStr">
        <is>
          <t>Standard response window</t>
        </is>
      </c>
      <c r="AA391" t="inlineStr">
        <is>
          <t>Specific card overrides general rules</t>
        </is>
      </c>
      <c r="AB391" t="inlineStr">
        <is>
          <t>Full card scan read; behaviour paraphrased (no card text copied)</t>
        </is>
      </c>
      <c r="AC391" t="inlineStr">
        <is>
          <t>FUNCTIONALLY COMPLETE</t>
        </is>
      </c>
      <c r="AD391" t="inlineStr">
        <is>
          <t>None</t>
        </is>
      </c>
      <c r="AE391" t="inlineStr">
        <is>
          <t>Card scan (GitHub: Cha0smagick/Virtual-Illuminati-New-World-order-INWO-game), read Sep 2026</t>
        </is>
      </c>
      <c r="AF391" t="inlineStr">
        <is>
          <t>N/A</t>
        </is>
      </c>
      <c r="AG391" t="inlineStr">
        <is>
          <t>N/A</t>
        </is>
      </c>
      <c r="AH391" t="inlineStr">
        <is>
          <t>N/A</t>
        </is>
      </c>
      <c r="AI391" t="inlineStr">
        <is>
          <t>N/A</t>
        </is>
      </c>
      <c r="AJ391" t="inlineStr">
        <is>
          <t>N/A</t>
        </is>
      </c>
      <c r="AK391" t="inlineStr">
        <is>
          <t>Official rules: non-Group card types do not use normal Group control-arrow geometry.</t>
        </is>
      </c>
    </row>
    <row r="392" ht="34" customHeight="1" s="16">
      <c r="A392" s="20" t="inlineStr">
        <is>
          <t>Loch Ness Monster</t>
        </is>
      </c>
      <c r="B392" s="20" t="inlineStr">
        <is>
          <t>Resource</t>
        </is>
      </c>
      <c r="C392" s="20" t="str"/>
      <c r="D392" s="20" t="inlineStr">
        <is>
          <t>Common</t>
        </is>
      </c>
      <c r="E392" s="20" t="str"/>
      <c r="F392" s="20" t="str"/>
      <c r="G392" s="20" t="str"/>
      <c r="H392" s="20" t="str"/>
      <c r="I392" s="20" t="inlineStr">
        <is>
          <t>Nessie has its own action and can use it to: stop an action by a Coastal Place; add 4 to an Attack to Destroy against a Coastal Place; or boost a Disaster against a Coastal Place by 4.</t>
        </is>
      </c>
      <c r="J392" s="20" t="inlineStr">
        <is>
          <t>Needs rules-engine encoding</t>
        </is>
      </c>
      <c r="K392" s="20" t="inlineStr">
        <is>
          <t>High</t>
        </is>
      </c>
      <c r="L392" s="20" t="str"/>
      <c r="M392" s="20" t="inlineStr">
        <is>
          <t>https://github.com/Cha0smagick/Virtual-Illuminati-New-World-order-INWO-game</t>
        </is>
      </c>
      <c r="N392" t="inlineStr">
        <is>
          <t>As an action of this card (whenever an action/attack could be affected)</t>
        </is>
      </c>
      <c r="O392" t="inlineStr">
        <is>
          <t>Any Coastal Place (its action, or an attack/Disaster against it)</t>
        </is>
      </c>
      <c r="P392" t="inlineStr">
        <is>
          <t>Loch Ness Monster's action</t>
        </is>
      </c>
      <c r="Q392" t="inlineStr">
        <is>
          <t>Immediate / for that attack</t>
        </is>
      </c>
      <c r="R392" t="inlineStr">
        <is>
          <t>Choose: cancel a Coastal Place's action; OR +4 to attempt to destroy a Coastal Place; OR +4 to Disaster power vs a Coastal Place</t>
        </is>
      </c>
      <c r="S392" t="inlineStr">
        <is>
          <t>NO</t>
        </is>
      </c>
      <c r="T392" t="inlineStr">
        <is>
          <t>N/A</t>
        </is>
      </c>
      <c r="U392" t="inlineStr">
        <is>
          <t>N/A</t>
        </is>
      </c>
      <c r="V392" t="inlineStr">
        <is>
          <t>N/A — INWO uses Plots instead of group income/money</t>
        </is>
      </c>
      <c r="W392" t="inlineStr">
        <is>
          <t>Has its own action</t>
        </is>
      </c>
      <c r="X392" t="inlineStr">
        <is>
          <t>Unique</t>
        </is>
      </c>
      <c r="Y392" t="inlineStr">
        <is>
          <t>Target must be a Coastal Place</t>
        </is>
      </c>
      <c r="Z392" t="inlineStr">
        <is>
          <t>Standard response window</t>
        </is>
      </c>
      <c r="AA392" t="inlineStr">
        <is>
          <t>Specific card overrides general rules</t>
        </is>
      </c>
      <c r="AB392" t="inlineStr">
        <is>
          <t>Full card scan read; behaviour paraphrased (no card text copied)</t>
        </is>
      </c>
      <c r="AC392" t="inlineStr">
        <is>
          <t>FUNCTIONALLY COMPLETE</t>
        </is>
      </c>
      <c r="AD392" t="inlineStr">
        <is>
          <t>None</t>
        </is>
      </c>
      <c r="AE392" t="inlineStr">
        <is>
          <t>Card scan (GitHub: Cha0smagick/Virtual-Illuminati-New-World-order-INWO-game), read Sep 2026</t>
        </is>
      </c>
      <c r="AF392" t="inlineStr">
        <is>
          <t>N/A</t>
        </is>
      </c>
      <c r="AG392" t="inlineStr">
        <is>
          <t>N/A</t>
        </is>
      </c>
      <c r="AH392" t="inlineStr">
        <is>
          <t>N/A</t>
        </is>
      </c>
      <c r="AI392" t="inlineStr">
        <is>
          <t>N/A</t>
        </is>
      </c>
      <c r="AJ392" t="inlineStr">
        <is>
          <t>N/A</t>
        </is>
      </c>
      <c r="AK392" t="inlineStr">
        <is>
          <t>Official rules: non-Group card types do not use normal Group control-arrow geometry.</t>
        </is>
      </c>
    </row>
    <row r="393" ht="34" customHeight="1" s="16">
      <c r="A393" s="20" t="inlineStr">
        <is>
          <t>Mercenaries</t>
        </is>
      </c>
      <c r="B393" s="20" t="inlineStr">
        <is>
          <t>Resource</t>
        </is>
      </c>
      <c r="C393" s="20" t="str"/>
      <c r="D393" s="20" t="inlineStr">
        <is>
          <t>Common</t>
        </is>
      </c>
      <c r="E393" s="20" t="str"/>
      <c r="F393" s="20" t="str"/>
      <c r="G393" s="20" t="str"/>
      <c r="H393" s="20" t="str"/>
      <c r="I393" s="20" t="inlineStr">
        <is>
          <t>Once a turn, the Mercenaries can use their action to boost one of your Attacks to Destroy by 4 or one of your Attacks to Control by 1.</t>
        </is>
      </c>
      <c r="J393" s="20" t="inlineStr">
        <is>
          <t>Needs rules-engine encoding</t>
        </is>
      </c>
      <c r="K393" s="20" t="inlineStr">
        <is>
          <t>High</t>
        </is>
      </c>
      <c r="L393" s="20" t="inlineStr">
        <is>
          <t>Card does not restrict whose attack it may aid; presumably any attempt.</t>
        </is>
      </c>
      <c r="M393" s="20" t="inlineStr">
        <is>
          <t>https://github.com/Cha0smagick/Virtual-Illuminati-New-World-order-INWO-game</t>
        </is>
      </c>
      <c r="N393" t="inlineStr">
        <is>
          <t>As an action of this card, once per turn, during an attack</t>
        </is>
      </c>
      <c r="O393" t="inlineStr">
        <is>
          <t>Any attempt to destroy or attempt to control</t>
        </is>
      </c>
      <c r="P393" t="inlineStr">
        <is>
          <t>Mercenaries' action</t>
        </is>
      </c>
      <c r="Q393" t="inlineStr">
        <is>
          <t>For that attack</t>
        </is>
      </c>
      <c r="R393" t="inlineStr">
        <is>
          <t>Your Attack to Destroy +4, or your Attack to Control +1 (pick one)</t>
        </is>
      </c>
      <c r="S393" t="inlineStr">
        <is>
          <t>NO</t>
        </is>
      </c>
      <c r="T393" t="inlineStr">
        <is>
          <t>N/A</t>
        </is>
      </c>
      <c r="U393" t="inlineStr">
        <is>
          <t>N/A</t>
        </is>
      </c>
      <c r="V393" t="inlineStr">
        <is>
          <t>N/A — INWO uses Plots instead of group income/money</t>
        </is>
      </c>
      <c r="W393" t="inlineStr">
        <is>
          <t>Has its own action (once per turn)</t>
        </is>
      </c>
      <c r="X393" t="inlineStr">
        <is>
          <t>No card-specific limit (base duplicate rules apply)</t>
        </is>
      </c>
      <c r="Y393" t="inlineStr">
        <is>
          <t>None beyond base rules</t>
        </is>
      </c>
      <c r="Z393" t="inlineStr">
        <is>
          <t>Standard response window</t>
        </is>
      </c>
      <c r="AA393" t="inlineStr">
        <is>
          <t>Specific card overrides general rules</t>
        </is>
      </c>
      <c r="AB393" t="inlineStr">
        <is>
          <t>Full card scan read; behaviour paraphrased (no card text copied)</t>
        </is>
      </c>
      <c r="AC393" t="inlineStr">
        <is>
          <t>FUNCTIONALLY COMPLETE</t>
        </is>
      </c>
      <c r="AD393" t="inlineStr">
        <is>
          <t>None</t>
        </is>
      </c>
      <c r="AE393" t="inlineStr">
        <is>
          <t>Card scan (GitHub: Cha0smagick/Virtual-Illuminati-New-World-order-INWO-game), read Sep 2026</t>
        </is>
      </c>
      <c r="AF393" t="inlineStr">
        <is>
          <t>N/A</t>
        </is>
      </c>
      <c r="AG393" t="inlineStr">
        <is>
          <t>N/A</t>
        </is>
      </c>
      <c r="AH393" t="inlineStr">
        <is>
          <t>N/A</t>
        </is>
      </c>
      <c r="AI393" t="inlineStr">
        <is>
          <t>N/A</t>
        </is>
      </c>
      <c r="AJ393" t="inlineStr">
        <is>
          <t>N/A</t>
        </is>
      </c>
      <c r="AK393" t="inlineStr">
        <is>
          <t>Official rules: non-Group card types do not use normal Group control-arrow geometry.</t>
        </is>
      </c>
    </row>
    <row r="394" ht="34" customHeight="1" s="16">
      <c r="A394" s="20" t="inlineStr">
        <is>
          <t>Midas Mill</t>
        </is>
      </c>
      <c r="B394" s="20" t="inlineStr">
        <is>
          <t>Resource</t>
        </is>
      </c>
      <c r="C394" s="20" t="str"/>
      <c r="D394" s="20" t="inlineStr">
        <is>
          <t>Common</t>
        </is>
      </c>
      <c r="E394" s="20" t="str"/>
      <c r="F394" s="20" t="str"/>
      <c r="G394" s="20" t="str"/>
      <c r="H394" s="20" t="str"/>
      <c r="I394" s="20" t="inlineStr">
        <is>
          <t>Choose one mode: your Illuminati gets +2 Power and +2 Global Power; or link the Mill to any Coastal group, which then gains Global Power equal to its regular Power.</t>
        </is>
      </c>
      <c r="J394" s="20" t="inlineStr">
        <is>
          <t>Needs rules-engine encoding</t>
        </is>
      </c>
      <c r="K394" s="20" t="inlineStr">
        <is>
          <t>High</t>
        </is>
      </c>
      <c r="L394" s="20" t="str"/>
      <c r="M394" s="20" t="inlineStr">
        <is>
          <t>https://github.com/Cha0smagick/Virtual-Illuminati-New-World-order-INWO-game</t>
        </is>
      </c>
      <c r="N394" t="inlineStr">
        <is>
          <t>Passive while in play</t>
        </is>
      </c>
      <c r="O394" t="inlineStr">
        <is>
          <t>Your Illuminati, or one linked Coastal group</t>
        </is>
      </c>
      <c r="P394" t="inlineStr">
        <is>
          <t>None</t>
        </is>
      </c>
      <c r="Q394" t="inlineStr">
        <is>
          <t>Permanent while in play</t>
        </is>
      </c>
      <c r="R394" t="inlineStr">
        <is>
          <t>Illuminati +2 Power and +2 Global Power; OR linked Coastal group's Global Power = its Power</t>
        </is>
      </c>
      <c r="S394" t="inlineStr">
        <is>
          <t>NO</t>
        </is>
      </c>
      <c r="T394" t="inlineStr">
        <is>
          <t>N/A</t>
        </is>
      </c>
      <c r="U394" t="inlineStr">
        <is>
          <t>N/A</t>
        </is>
      </c>
      <c r="V394" t="inlineStr">
        <is>
          <t>N/A — INWO uses Plots instead of group income/money</t>
        </is>
      </c>
      <c r="W394" t="inlineStr">
        <is>
          <t>No action</t>
        </is>
      </c>
      <c r="X394" t="inlineStr">
        <is>
          <t>Unique Gadget Artifact</t>
        </is>
      </c>
      <c r="Y394" t="inlineStr">
        <is>
          <t>For linked mode, target must be a Coastal group</t>
        </is>
      </c>
      <c r="Z394" t="inlineStr">
        <is>
          <t>Standard response window</t>
        </is>
      </c>
      <c r="AA394" t="inlineStr">
        <is>
          <t>Specific card overrides general rules</t>
        </is>
      </c>
      <c r="AB394" t="inlineStr">
        <is>
          <t>Full card scan read; behaviour paraphrased (no card text copied)</t>
        </is>
      </c>
      <c r="AC394" t="inlineStr">
        <is>
          <t>FUNCTIONALLY COMPLETE</t>
        </is>
      </c>
      <c r="AD394" t="inlineStr">
        <is>
          <t>None</t>
        </is>
      </c>
      <c r="AE394" t="inlineStr">
        <is>
          <t>Card scan (GitHub: Cha0smagick/Virtual-Illuminati-New-World-order-INWO-game), read Sep 2026</t>
        </is>
      </c>
      <c r="AF394" t="inlineStr">
        <is>
          <t>N/A</t>
        </is>
      </c>
      <c r="AG394" t="inlineStr">
        <is>
          <t>N/A</t>
        </is>
      </c>
      <c r="AH394" t="inlineStr">
        <is>
          <t>N/A</t>
        </is>
      </c>
      <c r="AI394" t="inlineStr">
        <is>
          <t>N/A</t>
        </is>
      </c>
      <c r="AJ394" t="inlineStr">
        <is>
          <t>N/A</t>
        </is>
      </c>
      <c r="AK394" t="inlineStr">
        <is>
          <t>Official rules: non-Group card types do not use normal Group control-arrow geometry.</t>
        </is>
      </c>
    </row>
    <row r="395" ht="34" customHeight="1" s="16">
      <c r="A395" s="20" t="inlineStr">
        <is>
          <t>Necronomicon</t>
        </is>
      </c>
      <c r="B395" s="20" t="inlineStr">
        <is>
          <t>Resource</t>
        </is>
      </c>
      <c r="C395" s="20" t="str"/>
      <c r="D395" s="20" t="inlineStr">
        <is>
          <t>Uncommon</t>
        </is>
      </c>
      <c r="E395" s="20" t="str"/>
      <c r="F395" s="20" t="str"/>
      <c r="G395" s="20" t="str"/>
      <c r="H395" s="20" t="str"/>
      <c r="I395" s="20" t="inlineStr">
        <is>
          <t>Link to a Magic or Violent group to double its Power. Should that group ever roll 11 or 12 for any action, it is destroyed and the Necronomicon is left unlinked (not destroyed). That destroyed group counts for your victory only when your Illuminati is the Servants of Cthulhu.</t>
        </is>
      </c>
      <c r="J395" s="20" t="inlineStr">
        <is>
          <t>Needs rules-engine encoding</t>
        </is>
      </c>
      <c r="K395" s="20" t="inlineStr">
        <is>
          <t>High</t>
        </is>
      </c>
      <c r="L395" s="20" t="inlineStr">
        <is>
          <t>Self-destruction counts for victory only for Servants of Cthulhu.</t>
        </is>
      </c>
      <c r="M395" s="20" t="inlineStr">
        <is>
          <t>https://github.com/Cha0smagick/Virtual-Illuminati-New-World-order-INWO-game</t>
        </is>
      </c>
      <c r="N395" t="inlineStr">
        <is>
          <t>Passive while linked</t>
        </is>
      </c>
      <c r="O395" t="inlineStr">
        <is>
          <t>One Violent or Magic group</t>
        </is>
      </c>
      <c r="P395" t="inlineStr">
        <is>
          <t>None</t>
        </is>
      </c>
      <c r="Q395" t="inlineStr">
        <is>
          <t>Permanent while linked</t>
        </is>
      </c>
      <c r="R395" t="inlineStr">
        <is>
          <t>Linked group Power x2; natural roll of 11 or 12 on any action by that group destroys it (Necronomicon unlinks and stays)</t>
        </is>
      </c>
      <c r="S395" t="inlineStr">
        <is>
          <t>NO</t>
        </is>
      </c>
      <c r="T395" t="inlineStr">
        <is>
          <t>N/A</t>
        </is>
      </c>
      <c r="U395" t="inlineStr">
        <is>
          <t>N/A</t>
        </is>
      </c>
      <c r="V395" t="inlineStr">
        <is>
          <t>N/A — INWO uses Plots instead of group income/money</t>
        </is>
      </c>
      <c r="W395" t="inlineStr">
        <is>
          <t>No action</t>
        </is>
      </c>
      <c r="X395" t="inlineStr">
        <is>
          <t>Unique Magic Artifact</t>
        </is>
      </c>
      <c r="Y395" t="inlineStr">
        <is>
          <t>Must be linked to a Violent or Magic group</t>
        </is>
      </c>
      <c r="Z395" t="inlineStr">
        <is>
          <t>Standard response window</t>
        </is>
      </c>
      <c r="AA395" t="inlineStr">
        <is>
          <t>Specific card overrides general rules</t>
        </is>
      </c>
      <c r="AB395" t="inlineStr">
        <is>
          <t>Full card scan read; behaviour paraphrased (no card text copied)</t>
        </is>
      </c>
      <c r="AC395" t="inlineStr">
        <is>
          <t>FUNCTIONALLY COMPLETE</t>
        </is>
      </c>
      <c r="AD395" t="inlineStr">
        <is>
          <t>None</t>
        </is>
      </c>
      <c r="AE395" t="inlineStr">
        <is>
          <t>Card scan (GitHub: Cha0smagick/Virtual-Illuminati-New-World-order-INWO-game), read Sep 2026</t>
        </is>
      </c>
      <c r="AF395" t="inlineStr">
        <is>
          <t>N/A</t>
        </is>
      </c>
      <c r="AG395" t="inlineStr">
        <is>
          <t>N/A</t>
        </is>
      </c>
      <c r="AH395" t="inlineStr">
        <is>
          <t>N/A</t>
        </is>
      </c>
      <c r="AI395" t="inlineStr">
        <is>
          <t>N/A</t>
        </is>
      </c>
      <c r="AJ395" t="inlineStr">
        <is>
          <t>N/A</t>
        </is>
      </c>
      <c r="AK395" t="inlineStr">
        <is>
          <t>Official rules: non-Group card types do not use normal Group control-arrow geometry.</t>
        </is>
      </c>
    </row>
    <row r="396" ht="34" customHeight="1" s="16">
      <c r="A396" s="20" t="inlineStr">
        <is>
          <t>Orbital Mind Control Lasers</t>
        </is>
      </c>
      <c r="B396" s="20" t="inlineStr">
        <is>
          <t>Resource</t>
        </is>
      </c>
      <c r="C396" s="20" t="str"/>
      <c r="D396" s="20" t="inlineStr">
        <is>
          <t>Common</t>
        </is>
      </c>
      <c r="E396" s="20" t="str"/>
      <c r="F396" s="20" t="str"/>
      <c r="G396" s="20" t="str"/>
      <c r="H396" s="20" t="str"/>
      <c r="I396" s="20" t="inlineStr">
        <is>
          <t>Spend the Lasers' action to add, remove, or flip one alignment of a group in play. Usable anytime but not in a privileged attack. The effect ends when the current player's turn is over.</t>
        </is>
      </c>
      <c r="J396" s="20" t="inlineStr">
        <is>
          <t>Needs rules-engine encoding</t>
        </is>
      </c>
      <c r="K396" s="20" t="inlineStr">
        <is>
          <t>High</t>
        </is>
      </c>
      <c r="L396" s="20" t="str"/>
      <c r="M396" s="20" t="inlineStr">
        <is>
          <t>https://github.com/Cha0smagick/Virtual-Illuminati-New-World-order-INWO-game</t>
        </is>
      </c>
      <c r="N396" t="inlineStr">
        <is>
          <t>Anytime outside a privileged attack, spending the Lasers' action</t>
        </is>
      </c>
      <c r="O396" t="inlineStr">
        <is>
          <t>Any group in play</t>
        </is>
      </c>
      <c r="P396" t="inlineStr">
        <is>
          <t>Orbital Mind Control Lasers' action</t>
        </is>
      </c>
      <c r="Q396" t="inlineStr">
        <is>
          <t>Until end of current player's turn</t>
        </is>
      </c>
      <c r="R396" t="inlineStr">
        <is>
          <t>Add, remove or reverse one alignment on target group</t>
        </is>
      </c>
      <c r="S396" t="inlineStr">
        <is>
          <t>NO</t>
        </is>
      </c>
      <c r="T396" t="inlineStr">
        <is>
          <t>N/A</t>
        </is>
      </c>
      <c r="U396" t="inlineStr">
        <is>
          <t>N/A</t>
        </is>
      </c>
      <c r="V396" t="inlineStr">
        <is>
          <t>N/A — INWO uses Plots instead of group income/money</t>
        </is>
      </c>
      <c r="W396" t="inlineStr">
        <is>
          <t>Has its own action</t>
        </is>
      </c>
      <c r="X396" t="inlineStr">
        <is>
          <t>Unique Gadget</t>
        </is>
      </c>
      <c r="Y396" t="inlineStr">
        <is>
          <t>Not during a privileged attack</t>
        </is>
      </c>
      <c r="Z396" t="inlineStr">
        <is>
          <t>Cannot be used during a privileged attack</t>
        </is>
      </c>
      <c r="AA396" t="inlineStr">
        <is>
          <t>Specific card overrides general rules</t>
        </is>
      </c>
      <c r="AB396" t="inlineStr">
        <is>
          <t>Full card scan read; behaviour paraphrased (no card text copied)</t>
        </is>
      </c>
      <c r="AC396" t="inlineStr">
        <is>
          <t>FUNCTIONALLY COMPLETE</t>
        </is>
      </c>
      <c r="AD396" t="inlineStr">
        <is>
          <t>None</t>
        </is>
      </c>
      <c r="AE396" t="inlineStr">
        <is>
          <t>Card scan (GitHub: Cha0smagick/Virtual-Illuminati-New-World-order-INWO-game), read Sep 2026</t>
        </is>
      </c>
      <c r="AF396" t="inlineStr">
        <is>
          <t>N/A</t>
        </is>
      </c>
      <c r="AG396" t="inlineStr">
        <is>
          <t>N/A</t>
        </is>
      </c>
      <c r="AH396" t="inlineStr">
        <is>
          <t>N/A</t>
        </is>
      </c>
      <c r="AI396" t="inlineStr">
        <is>
          <t>N/A</t>
        </is>
      </c>
      <c r="AJ396" t="inlineStr">
        <is>
          <t>N/A</t>
        </is>
      </c>
      <c r="AK396" t="inlineStr">
        <is>
          <t>Official rules: non-Group card types do not use normal Group control-arrow geometry.</t>
        </is>
      </c>
    </row>
    <row r="397" ht="34" customHeight="1" s="16">
      <c r="A397" s="20" t="inlineStr">
        <is>
          <t>Perpetual Motion Machine</t>
        </is>
      </c>
      <c r="B397" s="20" t="inlineStr">
        <is>
          <t>Resource</t>
        </is>
      </c>
      <c r="C397" s="20" t="str"/>
      <c r="D397" s="20" t="inlineStr">
        <is>
          <t>Rare</t>
        </is>
      </c>
      <c r="E397" s="20" t="str"/>
      <c r="F397" s="20" t="str"/>
      <c r="G397" s="20" t="str"/>
      <c r="H397" s="20" t="str"/>
      <c r="I397" s="20" t="inlineStr">
        <is>
          <t>The group linked to this device receives one additional Action token at the start of every turn.</t>
        </is>
      </c>
      <c r="J397" s="20" t="inlineStr">
        <is>
          <t>Needs rules-engine encoding</t>
        </is>
      </c>
      <c r="K397" s="20" t="inlineStr">
        <is>
          <t>High</t>
        </is>
      </c>
      <c r="L397" s="20" t="inlineStr">
        <is>
          <t>Card says 'each turn' (not only your turn).</t>
        </is>
      </c>
      <c r="M397" s="20" t="inlineStr">
        <is>
          <t>https://github.com/Cha0smagick/Virtual-Illuminati-New-World-order-INWO-game</t>
        </is>
      </c>
      <c r="N397" t="inlineStr">
        <is>
          <t>Passive; at the beginning of each turn</t>
        </is>
      </c>
      <c r="O397" t="inlineStr">
        <is>
          <t>The linked group</t>
        </is>
      </c>
      <c r="P397" t="inlineStr">
        <is>
          <t>None</t>
        </is>
      </c>
      <c r="Q397" t="inlineStr">
        <is>
          <t>Permanent while linked</t>
        </is>
      </c>
      <c r="R397" t="inlineStr">
        <is>
          <t>Linked group +1 Action token each turn</t>
        </is>
      </c>
      <c r="S397" t="inlineStr">
        <is>
          <t>NO</t>
        </is>
      </c>
      <c r="T397" t="inlineStr">
        <is>
          <t>N/A</t>
        </is>
      </c>
      <c r="U397" t="inlineStr">
        <is>
          <t>N/A</t>
        </is>
      </c>
      <c r="V397" t="inlineStr">
        <is>
          <t>N/A — INWO uses Plots instead of group income/money</t>
        </is>
      </c>
      <c r="W397" t="inlineStr">
        <is>
          <t>No action of its own; grants linked group +1 action token</t>
        </is>
      </c>
      <c r="X397" t="inlineStr">
        <is>
          <t>Unique Artifact Gadget</t>
        </is>
      </c>
      <c r="Y397" t="inlineStr">
        <is>
          <t>Must be linked to a group</t>
        </is>
      </c>
      <c r="Z397" t="inlineStr">
        <is>
          <t>Standard response window</t>
        </is>
      </c>
      <c r="AA397" t="inlineStr">
        <is>
          <t>Specific card overrides general rules</t>
        </is>
      </c>
      <c r="AB397" t="inlineStr">
        <is>
          <t>Full card scan read; behaviour paraphrased (no card text copied)</t>
        </is>
      </c>
      <c r="AC397" t="inlineStr">
        <is>
          <t>FUNCTIONALLY COMPLETE</t>
        </is>
      </c>
      <c r="AD397" t="inlineStr">
        <is>
          <t>None</t>
        </is>
      </c>
      <c r="AE397" t="inlineStr">
        <is>
          <t>Card scan (GitHub: Cha0smagick/Virtual-Illuminati-New-World-order-INWO-game), read Sep 2026</t>
        </is>
      </c>
      <c r="AF397" t="inlineStr">
        <is>
          <t>N/A</t>
        </is>
      </c>
      <c r="AG397" t="inlineStr">
        <is>
          <t>N/A</t>
        </is>
      </c>
      <c r="AH397" t="inlineStr">
        <is>
          <t>N/A</t>
        </is>
      </c>
      <c r="AI397" t="inlineStr">
        <is>
          <t>N/A</t>
        </is>
      </c>
      <c r="AJ397" t="inlineStr">
        <is>
          <t>N/A</t>
        </is>
      </c>
      <c r="AK397" t="inlineStr">
        <is>
          <t>Official rules: non-Group card types do not use normal Group control-arrow geometry.</t>
        </is>
      </c>
    </row>
    <row r="398" ht="34" customHeight="1" s="16">
      <c r="A398" s="20" t="inlineStr">
        <is>
          <t>Principia Discordia</t>
        </is>
      </c>
      <c r="B398" s="20" t="inlineStr">
        <is>
          <t>Resource</t>
        </is>
      </c>
      <c r="C398" s="20" t="str"/>
      <c r="D398" s="20" t="inlineStr">
        <is>
          <t>Common</t>
        </is>
      </c>
      <c r="E398" s="20" t="str"/>
      <c r="F398" s="20" t="str"/>
      <c r="G398" s="20" t="str"/>
      <c r="H398" s="20" t="str"/>
      <c r="I398" s="20" t="inlineStr">
        <is>
          <t>Every Weird group in your Power Structure gains +1 Resistance for each Weird group you control (e.g., with 5 Weird groups, each gets +5 Resistance).</t>
        </is>
      </c>
      <c r="J398" s="20" t="inlineStr">
        <is>
          <t>Needs rules-engine encoding</t>
        </is>
      </c>
      <c r="K398" s="20" t="inlineStr">
        <is>
          <t>High</t>
        </is>
      </c>
      <c r="L398" s="20" t="inlineStr">
        <is>
          <t>Count includes the group itself.</t>
        </is>
      </c>
      <c r="M398" s="20" t="inlineStr">
        <is>
          <t>https://github.com/Cha0smagick/Virtual-Illuminati-New-World-order-INWO-game</t>
        </is>
      </c>
      <c r="N398" t="inlineStr">
        <is>
          <t>Passive while in play</t>
        </is>
      </c>
      <c r="O398" t="inlineStr">
        <is>
          <t>All Weird groups in your Power Structure</t>
        </is>
      </c>
      <c r="P398" t="inlineStr">
        <is>
          <t>None</t>
        </is>
      </c>
      <c r="Q398" t="inlineStr">
        <is>
          <t>Permanent while in play</t>
        </is>
      </c>
      <c r="R398" t="inlineStr">
        <is>
          <t>Each your Weird group: +N Resistance, N = number of Weird groups you control</t>
        </is>
      </c>
      <c r="S398" t="inlineStr">
        <is>
          <t>NO</t>
        </is>
      </c>
      <c r="T398" t="inlineStr">
        <is>
          <t>N/A</t>
        </is>
      </c>
      <c r="U398" t="inlineStr">
        <is>
          <t>N/A</t>
        </is>
      </c>
      <c r="V398" t="inlineStr">
        <is>
          <t>N/A — INWO uses Plots instead of group income/money</t>
        </is>
      </c>
      <c r="W398" t="inlineStr">
        <is>
          <t>No action</t>
        </is>
      </c>
      <c r="X398" t="inlineStr">
        <is>
          <t>Unique Artifact</t>
        </is>
      </c>
      <c r="Y398" t="inlineStr">
        <is>
          <t>None beyond base rules</t>
        </is>
      </c>
      <c r="Z398" t="inlineStr">
        <is>
          <t>Standard response window</t>
        </is>
      </c>
      <c r="AA398" t="inlineStr">
        <is>
          <t>Specific card overrides general rules</t>
        </is>
      </c>
      <c r="AB398" t="inlineStr">
        <is>
          <t>Full card scan read; behaviour paraphrased (no card text copied)</t>
        </is>
      </c>
      <c r="AC398" t="inlineStr">
        <is>
          <t>FUNCTIONALLY COMPLETE</t>
        </is>
      </c>
      <c r="AD398" t="inlineStr">
        <is>
          <t>None</t>
        </is>
      </c>
      <c r="AE398" t="inlineStr">
        <is>
          <t>Card scan (GitHub: Cha0smagick/Virtual-Illuminati-New-World-order-INWO-game), read Sep 2026</t>
        </is>
      </c>
      <c r="AF398" t="inlineStr">
        <is>
          <t>N/A</t>
        </is>
      </c>
      <c r="AG398" t="inlineStr">
        <is>
          <t>N/A</t>
        </is>
      </c>
      <c r="AH398" t="inlineStr">
        <is>
          <t>N/A</t>
        </is>
      </c>
      <c r="AI398" t="inlineStr">
        <is>
          <t>N/A</t>
        </is>
      </c>
      <c r="AJ398" t="inlineStr">
        <is>
          <t>N/A</t>
        </is>
      </c>
      <c r="AK398" t="inlineStr">
        <is>
          <t>Official rules: non-Group card types do not use normal Group control-arrow geometry.</t>
        </is>
      </c>
    </row>
    <row r="399" ht="34" customHeight="1" s="16">
      <c r="A399" s="20" t="inlineStr">
        <is>
          <t>Rogue Boomer</t>
        </is>
      </c>
      <c r="B399" s="20" t="inlineStr">
        <is>
          <t>Resource</t>
        </is>
      </c>
      <c r="C399" s="20" t="str"/>
      <c r="D399" s="20" t="inlineStr">
        <is>
          <t>Common</t>
        </is>
      </c>
      <c r="E399" s="20" t="str"/>
      <c r="F399" s="20" t="str"/>
      <c r="G399" s="20" t="str"/>
      <c r="H399" s="20" t="str"/>
      <c r="I399" s="20" t="inlineStr">
        <is>
          <t>Gives +5 whenever one of your Groups attacks to control a Nation. Alternatively, once, it may add +10 to one of your own attempts to destroy a Place, or to any Disaster; after that single use it must be discarded.</t>
        </is>
      </c>
      <c r="J399" s="20" t="inlineStr">
        <is>
          <t>Needs rules-engine encoding</t>
        </is>
      </c>
      <c r="K399" s="20" t="inlineStr">
        <is>
          <t>High</t>
        </is>
      </c>
      <c r="L399" s="20" t="inlineStr">
        <is>
          <t>Checked against the printed card: "any attempt" bonuses help only the holder's own attacks (rulebook glossary); the one-shot +10 applies to the holder's own attacks on a Place, or to aiding any Disaster.</t>
        </is>
      </c>
      <c r="M399" s="20" t="inlineStr">
        <is>
          <t>https://github.com/Cha0smagick/Virtual-Illuminati-New-World-order-INWO-game</t>
        </is>
      </c>
      <c r="N399" t="inlineStr">
        <is>
          <t>During an attack to control a Nation (repeatable) or an attack to destroy a Place / a Disaster (one-shot)</t>
        </is>
      </c>
      <c r="O399" t="inlineStr">
        <is>
          <t>Attempts to control Nations; attempts to destroy Places; any Disaster</t>
        </is>
      </c>
      <c r="P399" t="inlineStr">
        <is>
          <t>None for control bonus; discard Rogue Boomer for the +10 use</t>
        </is>
      </c>
      <c r="Q399" t="inlineStr">
        <is>
          <t>For that attack</t>
        </is>
      </c>
      <c r="R399" t="inlineStr">
        <is>
          <t>+5 to control a Nation; OR one-time +10 to destroy a Place or to a Disaster, then discard</t>
        </is>
      </c>
      <c r="S399" t="inlineStr">
        <is>
          <t>NO</t>
        </is>
      </c>
      <c r="T399" t="inlineStr">
        <is>
          <t>N/A</t>
        </is>
      </c>
      <c r="U399" t="inlineStr">
        <is>
          <t>N/A</t>
        </is>
      </c>
      <c r="V399" t="inlineStr">
        <is>
          <t>N/A — INWO uses Plots instead of group income/money</t>
        </is>
      </c>
      <c r="W399" t="inlineStr">
        <is>
          <t>No action</t>
        </is>
      </c>
      <c r="X399" t="inlineStr">
        <is>
          <t>No card-specific limit (base duplicate rules apply)</t>
        </is>
      </c>
      <c r="Y399" t="inlineStr">
        <is>
          <t>Control bonus only vs Nations; destroy bonus only vs Places (or any Disaster)</t>
        </is>
      </c>
      <c r="Z399" t="inlineStr">
        <is>
          <t>Standard response window</t>
        </is>
      </c>
      <c r="AA399" t="inlineStr">
        <is>
          <t>Specific card overrides general rules</t>
        </is>
      </c>
      <c r="AB399" t="inlineStr">
        <is>
          <t>Full card scan read; behaviour paraphrased (no card text copied)</t>
        </is>
      </c>
      <c r="AC399" t="inlineStr">
        <is>
          <t>FUNCTIONALLY COMPLETE</t>
        </is>
      </c>
      <c r="AD399" t="inlineStr">
        <is>
          <t>None</t>
        </is>
      </c>
      <c r="AE399" t="inlineStr">
        <is>
          <t>Card scan (GitHub: Cha0smagick/Virtual-Illuminati-New-World-order-INWO-game), read Sep 2026</t>
        </is>
      </c>
      <c r="AF399" t="inlineStr">
        <is>
          <t>N/A</t>
        </is>
      </c>
      <c r="AG399" t="inlineStr">
        <is>
          <t>N/A</t>
        </is>
      </c>
      <c r="AH399" t="inlineStr">
        <is>
          <t>N/A</t>
        </is>
      </c>
      <c r="AI399" t="inlineStr">
        <is>
          <t>N/A</t>
        </is>
      </c>
      <c r="AJ399" t="inlineStr">
        <is>
          <t>N/A</t>
        </is>
      </c>
      <c r="AK399" t="inlineStr">
        <is>
          <t>Official rules: non-Group card types do not use normal Group control-arrow geometry.</t>
        </is>
      </c>
    </row>
    <row r="400" ht="34" customHeight="1" s="16">
      <c r="A400" s="20" t="inlineStr">
        <is>
          <t>Shroud of Turin</t>
        </is>
      </c>
      <c r="B400" s="20" t="inlineStr">
        <is>
          <t>Resource</t>
        </is>
      </c>
      <c r="C400" s="20" t="str"/>
      <c r="D400" s="20" t="inlineStr">
        <is>
          <t>Rare</t>
        </is>
      </c>
      <c r="E400" s="20" t="str"/>
      <c r="F400" s="20" t="str"/>
      <c r="G400" s="20" t="str"/>
      <c r="H400" s="20" t="str"/>
      <c r="I400" s="20" t="inlineStr">
        <is>
          <t>Before each Plot or Group card you draw, you may check the top card of that deck; if you reject it, draw the bottom card of the deck unseen instead.</t>
        </is>
      </c>
      <c r="J400" s="20" t="inlineStr">
        <is>
          <t>Needs rules-engine encoding</t>
        </is>
      </c>
      <c r="K400" s="20" t="inlineStr">
        <is>
          <t>High</t>
        </is>
      </c>
      <c r="L400" s="20" t="inlineStr">
        <is>
          <t>Rejected top card presumably stays on top of the deck.</t>
        </is>
      </c>
      <c r="M400" s="20" t="inlineStr">
        <is>
          <t>https://github.com/Cha0smagick/Virtual-Illuminati-New-World-order-INWO-game</t>
        </is>
      </c>
      <c r="N400" t="inlineStr">
        <is>
          <t>Each time you draw a Group or Plot card</t>
        </is>
      </c>
      <c r="O400" t="inlineStr">
        <is>
          <t>Your own draw</t>
        </is>
      </c>
      <c r="P400" t="inlineStr">
        <is>
          <t>None</t>
        </is>
      </c>
      <c r="Q400" t="inlineStr">
        <is>
          <t>Permanent while in play</t>
        </is>
      </c>
      <c r="R400" t="inlineStr">
        <is>
          <t>Peek at top card; may take bottom card unseen instead</t>
        </is>
      </c>
      <c r="S400" t="inlineStr">
        <is>
          <t>NO</t>
        </is>
      </c>
      <c r="T400" t="inlineStr">
        <is>
          <t>N/A</t>
        </is>
      </c>
      <c r="U400" t="inlineStr">
        <is>
          <t>N/A</t>
        </is>
      </c>
      <c r="V400" t="inlineStr">
        <is>
          <t>N/A — INWO uses Plots instead of group income/money</t>
        </is>
      </c>
      <c r="W400" t="inlineStr">
        <is>
          <t>No action</t>
        </is>
      </c>
      <c r="X400" t="inlineStr">
        <is>
          <t>Unique Magic Artifact</t>
        </is>
      </c>
      <c r="Y400" t="inlineStr">
        <is>
          <t>None beyond base rules</t>
        </is>
      </c>
      <c r="Z400" t="inlineStr">
        <is>
          <t>Standard response window</t>
        </is>
      </c>
      <c r="AA400" t="inlineStr">
        <is>
          <t>Specific card overrides general rules</t>
        </is>
      </c>
      <c r="AB400" t="inlineStr">
        <is>
          <t>Full card scan read; behaviour paraphrased (no card text copied)</t>
        </is>
      </c>
      <c r="AC400" t="inlineStr">
        <is>
          <t>FUNCTIONALLY COMPLETE</t>
        </is>
      </c>
      <c r="AD400" t="inlineStr">
        <is>
          <t>None</t>
        </is>
      </c>
      <c r="AE400" t="inlineStr">
        <is>
          <t>Card scan (GitHub: Cha0smagick/Virtual-Illuminati-New-World-order-INWO-game), read Sep 2026</t>
        </is>
      </c>
      <c r="AF400" t="inlineStr">
        <is>
          <t>N/A</t>
        </is>
      </c>
      <c r="AG400" t="inlineStr">
        <is>
          <t>N/A</t>
        </is>
      </c>
      <c r="AH400" t="inlineStr">
        <is>
          <t>N/A</t>
        </is>
      </c>
      <c r="AI400" t="inlineStr">
        <is>
          <t>N/A</t>
        </is>
      </c>
      <c r="AJ400" t="inlineStr">
        <is>
          <t>N/A</t>
        </is>
      </c>
      <c r="AK400" t="inlineStr">
        <is>
          <t>Official rules: non-Group card types do not use normal Group control-arrow geometry.</t>
        </is>
      </c>
    </row>
    <row r="401" ht="34" customHeight="1" s="16">
      <c r="A401" s="20" t="inlineStr">
        <is>
          <t>Soulburner</t>
        </is>
      </c>
      <c r="B401" s="20" t="inlineStr">
        <is>
          <t>Resource</t>
        </is>
      </c>
      <c r="C401" s="20" t="str"/>
      <c r="D401" s="20" t="inlineStr">
        <is>
          <t>Rare</t>
        </is>
      </c>
      <c r="E401" s="20" t="str"/>
      <c r="F401" s="20" t="str"/>
      <c r="G401" s="20" t="str"/>
      <c r="H401" s="20" t="str"/>
      <c r="I401" s="20" t="inlineStr">
        <is>
          <t>If a rival captures a group of yours, you may at once draw one Plot from that rival's deck or reveal all of his hidden Plots. If a rival destroys a group of yours, you may take two Plots from his deck, or reveal all of his hidden Plots and choose one for him to discard.</t>
        </is>
      </c>
      <c r="J401" s="20" t="inlineStr">
        <is>
          <t>Needs rules-engine encoding</t>
        </is>
      </c>
      <c r="K401" s="20" t="inlineStr">
        <is>
          <t>High</t>
        </is>
      </c>
      <c r="L401" s="20" t="inlineStr">
        <is>
          <t>Drawn Plots go to your hand.</t>
        </is>
      </c>
      <c r="M401" s="20" t="inlineStr">
        <is>
          <t>https://github.com/Cha0smagick/Virtual-Illuminati-New-World-order-INWO-game</t>
        </is>
      </c>
      <c r="N401" t="inlineStr">
        <is>
          <t>Immediately when a rival captures or destroys one of your groups</t>
        </is>
      </c>
      <c r="O401" t="inlineStr">
        <is>
          <t>The rival who captured/destroyed your group</t>
        </is>
      </c>
      <c r="P401" t="inlineStr">
        <is>
          <t>None</t>
        </is>
      </c>
      <c r="Q401" t="inlineStr">
        <is>
          <t>Immediate</t>
        </is>
      </c>
      <c r="R401" t="inlineStr">
        <is>
          <t>Capture: take 1 Plot from rival's deck OR expose all rival's hidden Plots. Destroy: take 2 Plots from rival's deck OR expose all rival's hidden Plots + rival discards 1 Plot you choose</t>
        </is>
      </c>
      <c r="S401" t="inlineStr">
        <is>
          <t>NO</t>
        </is>
      </c>
      <c r="T401" t="inlineStr">
        <is>
          <t>N/A</t>
        </is>
      </c>
      <c r="U401" t="inlineStr">
        <is>
          <t>N/A</t>
        </is>
      </c>
      <c r="V401" t="inlineStr">
        <is>
          <t>N/A — INWO uses Plots instead of group income/money</t>
        </is>
      </c>
      <c r="W401" t="inlineStr">
        <is>
          <t>No action</t>
        </is>
      </c>
      <c r="X401" t="inlineStr">
        <is>
          <t>Unique Magic Gadget</t>
        </is>
      </c>
      <c r="Y401" t="inlineStr">
        <is>
          <t>Triggered only by a rival capturing or destroying your group</t>
        </is>
      </c>
      <c r="Z401" t="inlineStr">
        <is>
          <t>Standard response window</t>
        </is>
      </c>
      <c r="AA401" t="inlineStr">
        <is>
          <t>Specific card overrides general rules</t>
        </is>
      </c>
      <c r="AB401" t="inlineStr">
        <is>
          <t>Full card scan read; behaviour paraphrased (no card text copied)</t>
        </is>
      </c>
      <c r="AC401" t="inlineStr">
        <is>
          <t>FUNCTIONALLY COMPLETE</t>
        </is>
      </c>
      <c r="AD401" t="inlineStr">
        <is>
          <t>None</t>
        </is>
      </c>
      <c r="AE401" t="inlineStr">
        <is>
          <t>Card scan (GitHub: Cha0smagick/Virtual-Illuminati-New-World-order-INWO-game), read Sep 2026</t>
        </is>
      </c>
      <c r="AF401" t="inlineStr">
        <is>
          <t>N/A</t>
        </is>
      </c>
      <c r="AG401" t="inlineStr">
        <is>
          <t>N/A</t>
        </is>
      </c>
      <c r="AH401" t="inlineStr">
        <is>
          <t>N/A</t>
        </is>
      </c>
      <c r="AI401" t="inlineStr">
        <is>
          <t>N/A</t>
        </is>
      </c>
      <c r="AJ401" t="inlineStr">
        <is>
          <t>N/A</t>
        </is>
      </c>
      <c r="AK401" t="inlineStr">
        <is>
          <t>Official rules: non-Group card types do not use normal Group control-arrow geometry.</t>
        </is>
      </c>
    </row>
    <row r="402" ht="34" customHeight="1" s="16">
      <c r="A402" s="20" t="inlineStr">
        <is>
          <t>Spear of Longinus</t>
        </is>
      </c>
      <c r="B402" s="20" t="inlineStr">
        <is>
          <t>Resource</t>
        </is>
      </c>
      <c r="C402" s="20" t="str"/>
      <c r="D402" s="20" t="inlineStr">
        <is>
          <t>Common</t>
        </is>
      </c>
      <c r="E402" s="20" t="str"/>
      <c r="F402" s="20" t="str"/>
      <c r="G402" s="20" t="str"/>
      <c r="H402" s="20" t="str"/>
      <c r="I402" s="20" t="inlineStr">
        <is>
          <t>May be used any number of times. Gives +1 to any attack to destroy by any player, or +1 to any Disaster. An attack aided by the Spear counts as Magic, so defenses against Magic may apply.</t>
        </is>
      </c>
      <c r="J402" s="20" t="inlineStr">
        <is>
          <t>Needs rules-engine encoding</t>
        </is>
      </c>
      <c r="K402" s="20" t="inlineStr">
        <is>
          <t>High</t>
        </is>
      </c>
      <c r="L402" s="20" t="str"/>
      <c r="M402" s="20" t="inlineStr">
        <is>
          <t>https://github.com/Cha0smagick/Virtual-Illuminati-New-World-order-INWO-game</t>
        </is>
      </c>
      <c r="N402" t="inlineStr">
        <is>
          <t>During any attack to destroy or any Disaster; unlimited uses</t>
        </is>
      </c>
      <c r="O402" t="inlineStr">
        <is>
          <t>Any attack to destroy (any player's) or any Disaster</t>
        </is>
      </c>
      <c r="P402" t="inlineStr">
        <is>
          <t>None</t>
        </is>
      </c>
      <c r="Q402" t="inlineStr">
        <is>
          <t>For that attack</t>
        </is>
      </c>
      <c r="R402" t="inlineStr">
        <is>
          <t>+1 to attack to destroy or Disaster; attack becomes Magic</t>
        </is>
      </c>
      <c r="S402" t="inlineStr">
        <is>
          <t>NO</t>
        </is>
      </c>
      <c r="T402" t="inlineStr">
        <is>
          <t>N/A</t>
        </is>
      </c>
      <c r="U402" t="inlineStr">
        <is>
          <t>N/A</t>
        </is>
      </c>
      <c r="V402" t="inlineStr">
        <is>
          <t>N/A — INWO uses Plots instead of group income/money</t>
        </is>
      </c>
      <c r="W402" t="inlineStr">
        <is>
          <t>No action (unlimited use)</t>
        </is>
      </c>
      <c r="X402" t="inlineStr">
        <is>
          <t>Unique Magic Artifact</t>
        </is>
      </c>
      <c r="Y402" t="inlineStr">
        <is>
          <t>None beyond base rules</t>
        </is>
      </c>
      <c r="Z402" t="inlineStr">
        <is>
          <t>Standard response window; aided attack is treated as Magic</t>
        </is>
      </c>
      <c r="AA402" t="inlineStr">
        <is>
          <t>Specific card overrides general rules</t>
        </is>
      </c>
      <c r="AB402" t="inlineStr">
        <is>
          <t>Full card scan read; behaviour paraphrased (no card text copied)</t>
        </is>
      </c>
      <c r="AC402" t="inlineStr">
        <is>
          <t>FUNCTIONALLY COMPLETE</t>
        </is>
      </c>
      <c r="AD402" t="inlineStr">
        <is>
          <t>None</t>
        </is>
      </c>
      <c r="AE402" t="inlineStr">
        <is>
          <t>Card scan (GitHub: Cha0smagick/Virtual-Illuminati-New-World-order-INWO-game), read Sep 2026</t>
        </is>
      </c>
      <c r="AF402" t="inlineStr">
        <is>
          <t>N/A</t>
        </is>
      </c>
      <c r="AG402" t="inlineStr">
        <is>
          <t>N/A</t>
        </is>
      </c>
      <c r="AH402" t="inlineStr">
        <is>
          <t>N/A</t>
        </is>
      </c>
      <c r="AI402" t="inlineStr">
        <is>
          <t>N/A</t>
        </is>
      </c>
      <c r="AJ402" t="inlineStr">
        <is>
          <t>N/A</t>
        </is>
      </c>
      <c r="AK402" t="inlineStr">
        <is>
          <t>Official rules: non-Group card types do not use normal Group control-arrow geometry.</t>
        </is>
      </c>
    </row>
    <row r="403" ht="34" customHeight="1" s="16">
      <c r="A403" s="20" t="inlineStr">
        <is>
          <t>Suicide Squad</t>
        </is>
      </c>
      <c r="B403" s="20" t="inlineStr">
        <is>
          <t>Resource</t>
        </is>
      </c>
      <c r="C403" s="20" t="str"/>
      <c r="D403" s="20" t="inlineStr">
        <is>
          <t>Uncommon</t>
        </is>
      </c>
      <c r="E403" s="20" t="str"/>
      <c r="F403" s="20" t="str"/>
      <c r="G403" s="20" t="str"/>
      <c r="H403" s="20" t="str"/>
      <c r="I403" s="20" t="inlineStr">
        <is>
          <t>Usable anytime except in a privileged attack to try to destroy a Resource a rival owns. Roll one die: on 1 the target is destroyed and the Squad survives to be used again; on 2-5 both are destroyed; on 6 only the Squad is destroyed. Destroyed cards are discarded.</t>
        </is>
      </c>
      <c r="J403" s="20" t="inlineStr">
        <is>
          <t>Needs rules-engine encoding</t>
        </is>
      </c>
      <c r="K403" s="20" t="inlineStr">
        <is>
          <t>High</t>
        </is>
      </c>
      <c r="L403" s="20" t="str"/>
      <c r="M403" s="20" t="inlineStr">
        <is>
          <t>https://github.com/Cha0smagick/Virtual-Illuminati-New-World-order-INWO-game</t>
        </is>
      </c>
      <c r="N403" t="inlineStr">
        <is>
          <t>Any time except during a privileged attack</t>
        </is>
      </c>
      <c r="O403" t="inlineStr">
        <is>
          <t>Any rival's Resource</t>
        </is>
      </c>
      <c r="P403" t="inlineStr">
        <is>
          <t>None (risk of losing this card)</t>
        </is>
      </c>
      <c r="Q403" t="inlineStr">
        <is>
          <t>Immediate</t>
        </is>
      </c>
      <c r="R403" t="inlineStr">
        <is>
          <t>Roll 1d6: 1 target destroyed; 2-5 both destroyed; 6 Squad destroyed only</t>
        </is>
      </c>
      <c r="S403" t="inlineStr">
        <is>
          <t>NO</t>
        </is>
      </c>
      <c r="T403" t="inlineStr">
        <is>
          <t>N/A</t>
        </is>
      </c>
      <c r="U403" t="inlineStr">
        <is>
          <t>N/A</t>
        </is>
      </c>
      <c r="V403" t="inlineStr">
        <is>
          <t>N/A — INWO uses Plots instead of group income/money</t>
        </is>
      </c>
      <c r="W403" t="inlineStr">
        <is>
          <t>No action</t>
        </is>
      </c>
      <c r="X403" t="inlineStr">
        <is>
          <t>No card-specific limit (base duplicate rules apply)</t>
        </is>
      </c>
      <c r="Y403" t="inlineStr">
        <is>
          <t>Target must belong to a rival; not during a privileged attack</t>
        </is>
      </c>
      <c r="Z403" t="inlineStr">
        <is>
          <t>Cannot be used during a privileged attack</t>
        </is>
      </c>
      <c r="AA403" t="inlineStr">
        <is>
          <t>Specific card overrides general rules</t>
        </is>
      </c>
      <c r="AB403" t="inlineStr">
        <is>
          <t>Full card scan read; behaviour paraphrased (no card text copied)</t>
        </is>
      </c>
      <c r="AC403" t="inlineStr">
        <is>
          <t>FUNCTIONALLY COMPLETE</t>
        </is>
      </c>
      <c r="AD403" t="inlineStr">
        <is>
          <t>None</t>
        </is>
      </c>
      <c r="AE403" t="inlineStr">
        <is>
          <t>Card scan (GitHub: Cha0smagick/Virtual-Illuminati-New-World-order-INWO-game), read Sep 2026</t>
        </is>
      </c>
      <c r="AF403" t="inlineStr">
        <is>
          <t>N/A</t>
        </is>
      </c>
      <c r="AG403" t="inlineStr">
        <is>
          <t>N/A</t>
        </is>
      </c>
      <c r="AH403" t="inlineStr">
        <is>
          <t>N/A</t>
        </is>
      </c>
      <c r="AI403" t="inlineStr">
        <is>
          <t>N/A</t>
        </is>
      </c>
      <c r="AJ403" t="inlineStr">
        <is>
          <t>N/A</t>
        </is>
      </c>
      <c r="AK403" t="inlineStr">
        <is>
          <t>Official rules: non-Group card types do not use normal Group control-arrow geometry.</t>
        </is>
      </c>
    </row>
    <row r="404" ht="34" customHeight="1" s="16">
      <c r="A404" s="20" t="inlineStr">
        <is>
          <t>The Bronze Head</t>
        </is>
      </c>
      <c r="B404" s="20" t="inlineStr">
        <is>
          <t>Resource</t>
        </is>
      </c>
      <c r="C404" s="20" t="str"/>
      <c r="D404" s="20" t="inlineStr">
        <is>
          <t>Common</t>
        </is>
      </c>
      <c r="E404" s="20" t="str"/>
      <c r="F404" s="20" t="str"/>
      <c r="G404" s="20" t="str"/>
      <c r="H404" s="20" t="str"/>
      <c r="I404" s="20" t="inlineStr">
        <is>
          <t>When your own Group card played from hand fails its takeover, return it to your hand rather than discarding it.</t>
        </is>
      </c>
      <c r="J404" s="20" t="inlineStr">
        <is>
          <t>Needs rules-engine encoding</t>
        </is>
      </c>
      <c r="K404" s="20" t="inlineStr">
        <is>
          <t>High</t>
        </is>
      </c>
      <c r="L404" s="20" t="str"/>
      <c r="M404" s="20" t="inlineStr">
        <is>
          <t>https://github.com/Cha0smagick/Virtual-Illuminati-New-World-order-INWO-game</t>
        </is>
      </c>
      <c r="N404" t="inlineStr">
        <is>
          <t>Passive; when your takeover of a Group played from your hand fails</t>
        </is>
      </c>
      <c r="O404" t="inlineStr">
        <is>
          <t>Group cards you play from your hand</t>
        </is>
      </c>
      <c r="P404" t="inlineStr">
        <is>
          <t>None</t>
        </is>
      </c>
      <c r="Q404" t="inlineStr">
        <is>
          <t>Permanent while in play</t>
        </is>
      </c>
      <c r="R404" t="inlineStr">
        <is>
          <t>Failed takeover of own-hand Group: return card to hand instead of discard</t>
        </is>
      </c>
      <c r="S404" t="inlineStr">
        <is>
          <t>NO</t>
        </is>
      </c>
      <c r="T404" t="inlineStr">
        <is>
          <t>N/A</t>
        </is>
      </c>
      <c r="U404" t="inlineStr">
        <is>
          <t>N/A</t>
        </is>
      </c>
      <c r="V404" t="inlineStr">
        <is>
          <t>N/A — INWO uses Plots instead of group income/money</t>
        </is>
      </c>
      <c r="W404" t="inlineStr">
        <is>
          <t>No action</t>
        </is>
      </c>
      <c r="X404" t="inlineStr">
        <is>
          <t>Unique Magic Artifact</t>
        </is>
      </c>
      <c r="Y404" t="inlineStr">
        <is>
          <t>Group must be played from your own hand</t>
        </is>
      </c>
      <c r="Z404" t="inlineStr">
        <is>
          <t>Standard response window</t>
        </is>
      </c>
      <c r="AA404" t="inlineStr">
        <is>
          <t>Specific card overrides general rules</t>
        </is>
      </c>
      <c r="AB404" t="inlineStr">
        <is>
          <t>Full card scan read; behaviour paraphrased (no card text copied)</t>
        </is>
      </c>
      <c r="AC404" t="inlineStr">
        <is>
          <t>FUNCTIONALLY COMPLETE</t>
        </is>
      </c>
      <c r="AD404" t="inlineStr">
        <is>
          <t>None</t>
        </is>
      </c>
      <c r="AE404" t="inlineStr">
        <is>
          <t>Card scan (GitHub: Cha0smagick/Virtual-Illuminati-New-World-order-INWO-game), read Sep 2026</t>
        </is>
      </c>
      <c r="AF404" t="inlineStr">
        <is>
          <t>N/A</t>
        </is>
      </c>
      <c r="AG404" t="inlineStr">
        <is>
          <t>N/A</t>
        </is>
      </c>
      <c r="AH404" t="inlineStr">
        <is>
          <t>N/A</t>
        </is>
      </c>
      <c r="AI404" t="inlineStr">
        <is>
          <t>N/A</t>
        </is>
      </c>
      <c r="AJ404" t="inlineStr">
        <is>
          <t>N/A</t>
        </is>
      </c>
      <c r="AK404" t="inlineStr">
        <is>
          <t>Official rules: non-Group card types do not use normal Group control-arrow geometry.</t>
        </is>
      </c>
    </row>
    <row r="405" ht="34" customHeight="1" s="16">
      <c r="A405" s="20" t="inlineStr">
        <is>
          <t>The Frog God</t>
        </is>
      </c>
      <c r="B405" s="20" t="inlineStr">
        <is>
          <t>Resource</t>
        </is>
      </c>
      <c r="C405" s="20" t="str"/>
      <c r="D405" s="20" t="inlineStr">
        <is>
          <t>Common</t>
        </is>
      </c>
      <c r="E405" s="20" t="str"/>
      <c r="F405" s="20" t="str"/>
      <c r="G405" s="20" t="str"/>
      <c r="H405" s="20" t="str"/>
      <c r="I405" s="20" t="inlineStr">
        <is>
          <t>Lets you interfere on either side of a privileged attack; other players still can't interfere without special cards of their own. This costs the Frog God's action, and every group of yours that interferes spends its action as well.</t>
        </is>
      </c>
      <c r="J405" s="20" t="inlineStr">
        <is>
          <t>Needs rules-engine encoding</t>
        </is>
      </c>
      <c r="K405" s="20" t="inlineStr">
        <is>
          <t>High</t>
        </is>
      </c>
      <c r="L405" s="20" t="inlineStr">
        <is>
          <t>Footer reads 'Magic Artifact' (not Unique).</t>
        </is>
      </c>
      <c r="M405" s="20" t="inlineStr">
        <is>
          <t>https://github.com/Cha0smagick/Virtual-Illuminati-New-World-order-INWO-game</t>
        </is>
      </c>
      <c r="N405" t="inlineStr">
        <is>
          <t>During a privileged attack, as the Frog God's action</t>
        </is>
      </c>
      <c r="O405" t="inlineStr">
        <is>
          <t>Any privileged attack (aid or oppose)</t>
        </is>
      </c>
      <c r="P405" t="inlineStr">
        <is>
          <t>Frog God's action plus an action for each interfering group</t>
        </is>
      </c>
      <c r="Q405" t="inlineStr">
        <is>
          <t>For that attack</t>
        </is>
      </c>
      <c r="R405" t="inlineStr">
        <is>
          <t>Owner may interfere in a privileged attack</t>
        </is>
      </c>
      <c r="S405" t="inlineStr">
        <is>
          <t>NO</t>
        </is>
      </c>
      <c r="T405" t="inlineStr">
        <is>
          <t>N/A</t>
        </is>
      </c>
      <c r="U405" t="inlineStr">
        <is>
          <t>N/A</t>
        </is>
      </c>
      <c r="V405" t="inlineStr">
        <is>
          <t>N/A — INWO uses Plots instead of group income/money</t>
        </is>
      </c>
      <c r="W405" t="inlineStr">
        <is>
          <t>Has its own action</t>
        </is>
      </c>
      <c r="X405" t="inlineStr">
        <is>
          <t>No card-specific limit (base duplicate rules apply)</t>
        </is>
      </c>
      <c r="Y405" t="inlineStr">
        <is>
          <t>Attack must be privileged</t>
        </is>
      </c>
      <c r="Z405" t="inlineStr">
        <is>
          <t>Allows interference in privileged attacks for owner only</t>
        </is>
      </c>
      <c r="AA405" t="inlineStr">
        <is>
          <t>Specific card overrides general rules</t>
        </is>
      </c>
      <c r="AB405" t="inlineStr">
        <is>
          <t>Full card scan read; behaviour paraphrased (no card text copied)</t>
        </is>
      </c>
      <c r="AC405" t="inlineStr">
        <is>
          <t>FUNCTIONALLY COMPLETE</t>
        </is>
      </c>
      <c r="AD405" t="inlineStr">
        <is>
          <t>None</t>
        </is>
      </c>
      <c r="AE405" t="inlineStr">
        <is>
          <t>Card scan (GitHub: Cha0smagick/Virtual-Illuminati-New-World-order-INWO-game), read Sep 2026</t>
        </is>
      </c>
      <c r="AF405" t="inlineStr">
        <is>
          <t>N/A</t>
        </is>
      </c>
      <c r="AG405" t="inlineStr">
        <is>
          <t>N/A</t>
        </is>
      </c>
      <c r="AH405" t="inlineStr">
        <is>
          <t>N/A</t>
        </is>
      </c>
      <c r="AI405" t="inlineStr">
        <is>
          <t>N/A</t>
        </is>
      </c>
      <c r="AJ405" t="inlineStr">
        <is>
          <t>N/A</t>
        </is>
      </c>
      <c r="AK405" t="inlineStr">
        <is>
          <t>Official rules: non-Group card types do not use normal Group control-arrow geometry.</t>
        </is>
      </c>
    </row>
    <row r="406" ht="34" customHeight="1" s="16">
      <c r="A406" s="20" t="inlineStr">
        <is>
          <t>The Holy Grail</t>
        </is>
      </c>
      <c r="B406" s="20" t="inlineStr">
        <is>
          <t>Resource</t>
        </is>
      </c>
      <c r="C406" s="20" t="str"/>
      <c r="D406" s="20" t="inlineStr">
        <is>
          <t>Rare</t>
        </is>
      </c>
      <c r="E406" s="20" t="str"/>
      <c r="F406" s="20" t="str"/>
      <c r="G406" s="20" t="str"/>
      <c r="H406" s="20" t="str"/>
      <c r="I406" s="20" t="inlineStr">
        <is>
          <t>Secretly record the name of one Place and keep it under this card; it cannot be changed. If an attack would destroy or Devastate that Place, reveal the note and the attack automatically fails; the Grail keeps protecting that Place afterward. If the Place is captured, discard the Grail.</t>
        </is>
      </c>
      <c r="J406" s="20" t="inlineStr">
        <is>
          <t>Needs rules-engine encoding</t>
        </is>
      </c>
      <c r="K406" s="20" t="inlineStr">
        <is>
          <t>High</t>
        </is>
      </c>
      <c r="L406" s="20" t="inlineStr">
        <is>
          <t>Chosen Place need not be one you control.</t>
        </is>
      </c>
      <c r="M406" s="20" t="inlineStr">
        <is>
          <t>https://github.com/Cha0smagick/Virtual-Illuminati-New-World-order-INWO-game</t>
        </is>
      </c>
      <c r="N406" t="inlineStr">
        <is>
          <t>Passive; shown when an attack would destroy or Devastate the chosen Place</t>
        </is>
      </c>
      <c r="O406" t="inlineStr">
        <is>
          <t>One secretly chosen Place (any Place)</t>
        </is>
      </c>
      <c r="P406" t="inlineStr">
        <is>
          <t>None</t>
        </is>
      </c>
      <c r="Q406" t="inlineStr">
        <is>
          <t>Permanent until the chosen Place is captured</t>
        </is>
      </c>
      <c r="R406" t="inlineStr">
        <is>
          <t>Attack that would destroy/Devastate the secret Place automatically fails; Grail discarded if that Place is captured</t>
        </is>
      </c>
      <c r="S406" t="inlineStr">
        <is>
          <t>NO</t>
        </is>
      </c>
      <c r="T406" t="inlineStr">
        <is>
          <t>N/A</t>
        </is>
      </c>
      <c r="U406" t="inlineStr">
        <is>
          <t>N/A</t>
        </is>
      </c>
      <c r="V406" t="inlineStr">
        <is>
          <t>N/A — INWO uses Plots instead of group income/money</t>
        </is>
      </c>
      <c r="W406" t="inlineStr">
        <is>
          <t>No action</t>
        </is>
      </c>
      <c r="X406" t="inlineStr">
        <is>
          <t>Unique Magic Artifact</t>
        </is>
      </c>
      <c r="Y406" t="inlineStr">
        <is>
          <t>Must secretly designate a Place when played</t>
        </is>
      </c>
      <c r="Z406" t="inlineStr">
        <is>
          <t>Standard response window</t>
        </is>
      </c>
      <c r="AA406" t="inlineStr">
        <is>
          <t>Specific card overrides general rules</t>
        </is>
      </c>
      <c r="AB406" t="inlineStr">
        <is>
          <t>Full card scan read; behaviour paraphrased (no card text copied)</t>
        </is>
      </c>
      <c r="AC406" t="inlineStr">
        <is>
          <t>FUNCTIONALLY COMPLETE</t>
        </is>
      </c>
      <c r="AD406" t="inlineStr">
        <is>
          <t>None</t>
        </is>
      </c>
      <c r="AE406" t="inlineStr">
        <is>
          <t>Card scan (GitHub: Cha0smagick/Virtual-Illuminati-New-World-order-INWO-game), read Sep 2026</t>
        </is>
      </c>
      <c r="AF406" t="inlineStr">
        <is>
          <t>N/A</t>
        </is>
      </c>
      <c r="AG406" t="inlineStr">
        <is>
          <t>N/A</t>
        </is>
      </c>
      <c r="AH406" t="inlineStr">
        <is>
          <t>N/A</t>
        </is>
      </c>
      <c r="AI406" t="inlineStr">
        <is>
          <t>N/A</t>
        </is>
      </c>
      <c r="AJ406" t="inlineStr">
        <is>
          <t>N/A</t>
        </is>
      </c>
      <c r="AK406" t="inlineStr">
        <is>
          <t>Official rules: non-Group card types do not use normal Group control-arrow geometry.</t>
        </is>
      </c>
    </row>
    <row r="407" ht="34" customHeight="1" s="16">
      <c r="A407" s="20" t="inlineStr">
        <is>
          <t>The Library at Alexandria</t>
        </is>
      </c>
      <c r="B407" s="20" t="inlineStr">
        <is>
          <t>Resource</t>
        </is>
      </c>
      <c r="C407" s="20" t="str"/>
      <c r="D407" s="20" t="inlineStr">
        <is>
          <t>Uncommon</t>
        </is>
      </c>
      <c r="E407" s="20" t="str"/>
      <c r="F407" s="20" t="str"/>
      <c r="G407" s="20" t="str"/>
      <c r="H407" s="20" t="str"/>
      <c r="I407" s="20" t="inlineStr">
        <is>
          <t>Your attempts to take control of a Computer, Science, or Magic group get +5.</t>
        </is>
      </c>
      <c r="J407" s="20" t="inlineStr">
        <is>
          <t>Needs rules-engine encoding</t>
        </is>
      </c>
      <c r="K407" s="20" t="inlineStr">
        <is>
          <t>High</t>
        </is>
      </c>
      <c r="L407" s="20" t="str"/>
      <c r="M407" s="20" t="inlineStr">
        <is>
          <t>https://github.com/Cha0smagick/Virtual-Illuminati-New-World-order-INWO-game</t>
        </is>
      </c>
      <c r="N407" t="inlineStr">
        <is>
          <t>During an attempt to control</t>
        </is>
      </c>
      <c r="O407" t="inlineStr">
        <is>
          <t>Science, Magic or Computer groups</t>
        </is>
      </c>
      <c r="P407" t="inlineStr">
        <is>
          <t>None</t>
        </is>
      </c>
      <c r="Q407" t="inlineStr">
        <is>
          <t>For that attack</t>
        </is>
      </c>
      <c r="R407" t="inlineStr">
        <is>
          <t>+5 to attempts to control Science/Magic/Computer groups</t>
        </is>
      </c>
      <c r="S407" t="inlineStr">
        <is>
          <t>NO</t>
        </is>
      </c>
      <c r="T407" t="inlineStr">
        <is>
          <t>N/A</t>
        </is>
      </c>
      <c r="U407" t="inlineStr">
        <is>
          <t>N/A</t>
        </is>
      </c>
      <c r="V407" t="inlineStr">
        <is>
          <t>N/A — INWO uses Plots instead of group income/money</t>
        </is>
      </c>
      <c r="W407" t="inlineStr">
        <is>
          <t>No action</t>
        </is>
      </c>
      <c r="X407" t="inlineStr">
        <is>
          <t>Unique</t>
        </is>
      </c>
      <c r="Y407" t="inlineStr">
        <is>
          <t>Target must be Science, Magic or Computer</t>
        </is>
      </c>
      <c r="Z407" t="inlineStr">
        <is>
          <t>Standard response window</t>
        </is>
      </c>
      <c r="AA407" t="inlineStr">
        <is>
          <t>Specific card overrides general rules</t>
        </is>
      </c>
      <c r="AB407" t="inlineStr">
        <is>
          <t>Full card scan read; behaviour paraphrased (no card text copied)</t>
        </is>
      </c>
      <c r="AC407" t="inlineStr">
        <is>
          <t>FUNCTIONALLY COMPLETE</t>
        </is>
      </c>
      <c r="AD407" t="inlineStr">
        <is>
          <t>None</t>
        </is>
      </c>
      <c r="AE407" t="inlineStr">
        <is>
          <t>Card scan (GitHub: Cha0smagick/Virtual-Illuminati-New-World-order-INWO-game), read Sep 2026</t>
        </is>
      </c>
      <c r="AF407" t="inlineStr">
        <is>
          <t>N/A</t>
        </is>
      </c>
      <c r="AG407" t="inlineStr">
        <is>
          <t>N/A</t>
        </is>
      </c>
      <c r="AH407" t="inlineStr">
        <is>
          <t>N/A</t>
        </is>
      </c>
      <c r="AI407" t="inlineStr">
        <is>
          <t>N/A</t>
        </is>
      </c>
      <c r="AJ407" t="inlineStr">
        <is>
          <t>N/A</t>
        </is>
      </c>
      <c r="AK407" t="inlineStr">
        <is>
          <t>Official rules: non-Group card types do not use normal Group control-arrow geometry.</t>
        </is>
      </c>
    </row>
    <row r="408" ht="34" customHeight="1" s="16">
      <c r="A408" s="20" t="inlineStr">
        <is>
          <t>Warehouse 23</t>
        </is>
      </c>
      <c r="B408" s="20" t="inlineStr">
        <is>
          <t>Resource</t>
        </is>
      </c>
      <c r="C408" s="20" t="str"/>
      <c r="D408" s="20" t="inlineStr">
        <is>
          <t>Uncommon</t>
        </is>
      </c>
      <c r="E408" s="20" t="str"/>
      <c r="F408" s="20" t="str"/>
      <c r="G408" s="20" t="str"/>
      <c r="H408" s="20" t="str"/>
      <c r="I408" s="20" t="inlineStr">
        <is>
          <t>When first played, you may search your hand or deck for one Artifact or Gadget Resource and bring it in as a free automatic takeover. Afterwards, you may play new Resources face down hidden under Warehouse 23; hidden cards can't be used until exposed, you may expose one at any time and use it immediately if its rules allow, and once exposed it stays exposed. Rivals cannot look at or affect hidden cards except by capturing or destroying Warehouse 23, and its hidden cards go with it if it is captured or destroyed.</t>
        </is>
      </c>
      <c r="J408" s="20" t="inlineStr">
        <is>
          <t>Needs rules-engine encoding</t>
        </is>
      </c>
      <c r="K408" s="20" t="inlineStr">
        <is>
          <t>High</t>
        </is>
      </c>
      <c r="L408" s="20" t="inlineStr">
        <is>
          <t>'Free' presumably means no action cost; deck presumably reshuffled after search (not stated).</t>
        </is>
      </c>
      <c r="M408" s="20" t="inlineStr">
        <is>
          <t>https://github.com/Cha0smagick/Virtual-Illuminati-New-World-order-INWO-game</t>
        </is>
      </c>
      <c r="N408" t="inlineStr">
        <is>
          <t>On first play (search); passive storage afterwards; expose at any time</t>
        </is>
      </c>
      <c r="O408" t="inlineStr">
        <is>
          <t>Your Artifact/Gadget Resources; your new Resources</t>
        </is>
      </c>
      <c r="P408" t="inlineStr">
        <is>
          <t>None</t>
        </is>
      </c>
      <c r="Q408" t="inlineStr">
        <is>
          <t>Permanent while in play</t>
        </is>
      </c>
      <c r="R408" t="inlineStr">
        <is>
          <t>On play: fetch 1 Artifact/Gadget from hand/deck, auto-takeover free; new Resources may be hidden underneath, protected from rivals</t>
        </is>
      </c>
      <c r="S408" t="inlineStr">
        <is>
          <t>NO</t>
        </is>
      </c>
      <c r="T408" t="inlineStr">
        <is>
          <t>N/A</t>
        </is>
      </c>
      <c r="U408" t="inlineStr">
        <is>
          <t>N/A</t>
        </is>
      </c>
      <c r="V408" t="inlineStr">
        <is>
          <t>N/A — INWO uses Plots instead of group income/money</t>
        </is>
      </c>
      <c r="W408" t="inlineStr">
        <is>
          <t>No action</t>
        </is>
      </c>
      <c r="X408" t="inlineStr">
        <is>
          <t>Unique</t>
        </is>
      </c>
      <c r="Y408" t="inlineStr">
        <is>
          <t>Search only on initial play</t>
        </is>
      </c>
      <c r="Z408" t="inlineStr">
        <is>
          <t>Standard response window</t>
        </is>
      </c>
      <c r="AA408" t="inlineStr">
        <is>
          <t>Specific card overrides general rules</t>
        </is>
      </c>
      <c r="AB408" t="inlineStr">
        <is>
          <t>Full card scan read; behaviour paraphrased (no card text copied)</t>
        </is>
      </c>
      <c r="AC408" t="inlineStr">
        <is>
          <t>FUNCTIONALLY COMPLETE</t>
        </is>
      </c>
      <c r="AD408" t="inlineStr">
        <is>
          <t>None</t>
        </is>
      </c>
      <c r="AE408" t="inlineStr">
        <is>
          <t>Card scan (GitHub: Cha0smagick/Virtual-Illuminati-New-World-order-INWO-game), read Sep 2026</t>
        </is>
      </c>
      <c r="AF408" t="inlineStr">
        <is>
          <t>N/A</t>
        </is>
      </c>
      <c r="AG408" t="inlineStr">
        <is>
          <t>N/A</t>
        </is>
      </c>
      <c r="AH408" t="inlineStr">
        <is>
          <t>N/A</t>
        </is>
      </c>
      <c r="AI408" t="inlineStr">
        <is>
          <t>N/A</t>
        </is>
      </c>
      <c r="AJ408" t="inlineStr">
        <is>
          <t>N/A</t>
        </is>
      </c>
      <c r="AK408" t="inlineStr">
        <is>
          <t>Official rules: non-Group card types do not use normal Group control-arrow geometry.</t>
        </is>
      </c>
    </row>
    <row r="409" ht="34" customHeight="1" s="16">
      <c r="A409" s="20" t="inlineStr">
        <is>
          <t>Weather Satellite</t>
        </is>
      </c>
      <c r="B409" s="20" t="inlineStr">
        <is>
          <t>Resource</t>
        </is>
      </c>
      <c r="C409" s="20" t="str"/>
      <c r="D409" s="20" t="inlineStr">
        <is>
          <t>Uncommon</t>
        </is>
      </c>
      <c r="E409" s="20" t="str"/>
      <c r="F409" s="20" t="str"/>
      <c r="G409" s="20" t="str"/>
      <c r="H409" s="20" t="str"/>
      <c r="I409" s="20" t="inlineStr">
        <is>
          <t>(errata applied) Using one of its actions, the Satellite may increase the power of a Tornado, Hurricane or Rain of Frogs by 10 or decrease it by 4. Alternatively it may raise any other attack to destroy (Disasters included) against a non-Space Place by 4, or lower it by 2. It has two Action tokens but cannot use both in the same attack.</t>
        </is>
      </c>
      <c r="J409" s="20" t="inlineStr">
        <is>
          <t>Needs rules-engine encoding</t>
        </is>
      </c>
      <c r="K409" s="20" t="inlineStr">
        <is>
          <t>Medium</t>
        </is>
      </c>
      <c r="L409" s="20" t="inlineStr">
        <is>
          <t>Printed: +8/-4 to Hurricane, Tidal Wave, Tornado. Errata changes the bonus to +10 and swaps Tidal Wave for Rain of Frogs; assumed the -4 decrease stays and that Tidal Wave now falls under the general +4/-2 clause.</t>
        </is>
      </c>
      <c r="M409" s="20" t="inlineStr">
        <is>
          <t>https://github.com/Cha0smagick/Virtual-Illuminati-New-World-order-INWO-game</t>
        </is>
      </c>
      <c r="N409" t="inlineStr">
        <is>
          <t>As an action of this card, during a qualifying Disaster or attack to destroy</t>
        </is>
      </c>
      <c r="O409" t="inlineStr">
        <is>
          <t>Tornado, Hurricane, Rain of Frogs; or any other attack to destroy vs a Place that is not Space</t>
        </is>
      </c>
      <c r="P409" t="inlineStr">
        <is>
          <t>One of the Satellite's actions</t>
        </is>
      </c>
      <c r="Q409" t="inlineStr">
        <is>
          <t>For that attack</t>
        </is>
      </c>
      <c r="R409" t="inlineStr">
        <is>
          <t>Tornado/Hurricane/Rain of Frogs: +10 or -4; other destroy attacks vs non-Space Place: +4 or -2; max one action per attack</t>
        </is>
      </c>
      <c r="S409" t="inlineStr">
        <is>
          <t>REVIEW</t>
        </is>
      </c>
      <c r="T409" t="inlineStr">
        <is>
          <t>N/A</t>
        </is>
      </c>
      <c r="U409" t="inlineStr">
        <is>
          <t>N/A</t>
        </is>
      </c>
      <c r="V409" t="inlineStr">
        <is>
          <t>N/A — INWO uses Plots instead of group income/money</t>
        </is>
      </c>
      <c r="W409" t="inlineStr">
        <is>
          <t>Has two actions, which can't both go into one attack</t>
        </is>
      </c>
      <c r="X409" t="inlineStr">
        <is>
          <t>Gadget; no card-specific limit (base duplicate rules apply)</t>
        </is>
      </c>
      <c r="Y409" t="inlineStr">
        <is>
          <t>Target Place must not be a Space Place (for the general clause)</t>
        </is>
      </c>
      <c r="Z409" t="inlineStr">
        <is>
          <t>Standard response window</t>
        </is>
      </c>
      <c r="AA409" t="inlineStr">
        <is>
          <t>Specific card overrides general rules</t>
        </is>
      </c>
      <c r="AB409" t="inlineStr">
        <is>
          <t>Full card scan read; behaviour paraphrased (no card text copied)</t>
        </is>
      </c>
      <c r="AC409" t="inlineStr">
        <is>
          <t>COMPLETE — RULING NEEDED</t>
        </is>
      </c>
      <c r="AD409" t="inlineStr">
        <is>
          <t>Card wording is ambiguous; interpretation used is in Research Notes. Confirm or choose your own house ruling.</t>
        </is>
      </c>
      <c r="AE409" t="inlineStr">
        <is>
          <t>Card scan (GitHub: Cha0smagick/Virtual-Illuminati-New-World-order-INWO-game), read Sep 2026</t>
        </is>
      </c>
      <c r="AF409" t="inlineStr">
        <is>
          <t>N/A</t>
        </is>
      </c>
      <c r="AG409" t="inlineStr">
        <is>
          <t>N/A</t>
        </is>
      </c>
      <c r="AH409" t="inlineStr">
        <is>
          <t>N/A</t>
        </is>
      </c>
      <c r="AI409" t="inlineStr">
        <is>
          <t>N/A</t>
        </is>
      </c>
      <c r="AJ409" t="inlineStr">
        <is>
          <t>N/A</t>
        </is>
      </c>
      <c r="AK409" t="inlineStr">
        <is>
          <t>Official rules: non-Group card types do not use normal Group control-arrow geometry.</t>
        </is>
      </c>
    </row>
    <row r="410" ht="34" customHeight="1" s="16">
      <c r="A410" s="20" t="inlineStr">
        <is>
          <t>Xanadu</t>
        </is>
      </c>
      <c r="B410" s="20" t="inlineStr">
        <is>
          <t>Resource</t>
        </is>
      </c>
      <c r="C410" s="20" t="str"/>
      <c r="D410" s="20" t="inlineStr">
        <is>
          <t>Common</t>
        </is>
      </c>
      <c r="E410" s="20" t="str"/>
      <c r="F410" s="20" t="str"/>
      <c r="G410" s="20" t="str"/>
      <c r="H410" s="20" t="str"/>
      <c r="I410" s="20" t="inlineStr">
        <is>
          <t>Duplicates of your Groups, when played, add no bonus to attacks to control or destroy your group.</t>
        </is>
      </c>
      <c r="J410" s="20" t="inlineStr">
        <is>
          <t>Needs rules-engine encoding</t>
        </is>
      </c>
      <c r="K410" s="20" t="inlineStr">
        <is>
          <t>High</t>
        </is>
      </c>
      <c r="L410" s="20" t="str"/>
      <c r="M410" s="20" t="inlineStr">
        <is>
          <t>https://github.com/Cha0smagick/Virtual-Illuminati-New-World-order-INWO-game</t>
        </is>
      </c>
      <c r="N410" t="inlineStr">
        <is>
          <t>Passive while in play</t>
        </is>
      </c>
      <c r="O410" t="inlineStr">
        <is>
          <t>Your Groups (vs duplicate-card bonuses)</t>
        </is>
      </c>
      <c r="P410" t="inlineStr">
        <is>
          <t>None</t>
        </is>
      </c>
      <c r="Q410" t="inlineStr">
        <is>
          <t>Permanent while in play</t>
        </is>
      </c>
      <c r="R410" t="inlineStr">
        <is>
          <t>Duplicate-card bonus to control/destroy your groups = 0</t>
        </is>
      </c>
      <c r="S410" t="inlineStr">
        <is>
          <t>NO</t>
        </is>
      </c>
      <c r="T410" t="inlineStr">
        <is>
          <t>N/A</t>
        </is>
      </c>
      <c r="U410" t="inlineStr">
        <is>
          <t>N/A</t>
        </is>
      </c>
      <c r="V410" t="inlineStr">
        <is>
          <t>N/A — INWO uses Plots instead of group income/money</t>
        </is>
      </c>
      <c r="W410" t="inlineStr">
        <is>
          <t>No action</t>
        </is>
      </c>
      <c r="X410" t="inlineStr">
        <is>
          <t>Unique</t>
        </is>
      </c>
      <c r="Y410" t="inlineStr">
        <is>
          <t>None beyond base rules</t>
        </is>
      </c>
      <c r="Z410" t="inlineStr">
        <is>
          <t>Standard response window</t>
        </is>
      </c>
      <c r="AA410" t="inlineStr">
        <is>
          <t>Specific card overrides general rules</t>
        </is>
      </c>
      <c r="AB410" t="inlineStr">
        <is>
          <t>Full card scan read; behaviour paraphrased (no card text copied)</t>
        </is>
      </c>
      <c r="AC410" t="inlineStr">
        <is>
          <t>FUNCTIONALLY COMPLETE</t>
        </is>
      </c>
      <c r="AD410" t="inlineStr">
        <is>
          <t>None</t>
        </is>
      </c>
      <c r="AE410" t="inlineStr">
        <is>
          <t>Card scan (GitHub: Cha0smagick/Virtual-Illuminati-New-World-order-INWO-game), read Sep 2026</t>
        </is>
      </c>
      <c r="AF410" t="inlineStr">
        <is>
          <t>N/A</t>
        </is>
      </c>
      <c r="AG410" t="inlineStr">
        <is>
          <t>N/A</t>
        </is>
      </c>
      <c r="AH410" t="inlineStr">
        <is>
          <t>N/A</t>
        </is>
      </c>
      <c r="AI410" t="inlineStr">
        <is>
          <t>N/A</t>
        </is>
      </c>
      <c r="AJ410" t="inlineStr">
        <is>
          <t>N/A</t>
        </is>
      </c>
      <c r="AK410" t="inlineStr">
        <is>
          <t>Official rules: non-Group card types do not use normal Group control-arrow geometry.</t>
        </is>
      </c>
    </row>
    <row r="411" ht="34" customHeight="1" s="16">
      <c r="A411" s="20" t="inlineStr">
        <is>
          <t>The Great Pyramid</t>
        </is>
      </c>
      <c r="B411" s="20" t="inlineStr">
        <is>
          <t>Group</t>
        </is>
      </c>
      <c r="C411" s="20" t="inlineStr">
        <is>
          <t>Place</t>
        </is>
      </c>
      <c r="D411" s="20" t="inlineStr">
        <is>
          <t>Promo</t>
        </is>
      </c>
      <c r="E411" s="20" t="inlineStr">
        <is>
          <t>2/2</t>
        </is>
      </c>
      <c r="F411" s="20" t="inlineStr">
        <is>
          <t>4</t>
        </is>
      </c>
      <c r="G411" s="20" t="inlineStr">
        <is>
          <t>None</t>
        </is>
      </c>
      <c r="H411" s="20" t="inlineStr">
        <is>
          <t>Magic</t>
        </is>
      </c>
      <c r="I411" s="20" t="inlineStr">
        <is>
          <t>Each rival must reveal to you the first Plot card they draw every turn; taking notes on those cards is not allowed. Tornadoes and Hurricanes cannot affect the Great Pyramid.</t>
        </is>
      </c>
      <c r="J411" s="20" t="inlineStr">
        <is>
          <t>Needs rules-engine encoding</t>
        </is>
      </c>
      <c r="K411" s="20" t="inlineStr">
        <is>
          <t>High</t>
        </is>
      </c>
      <c r="L411" s="20" t="inlineStr">
        <is>
          <t>No alignments printed. One incoming (top) and one outgoing (bottom) control arrow visible.</t>
        </is>
      </c>
      <c r="M411" s="20" t="inlineStr">
        <is>
          <t>https://github.com/Cha0smagick/Virtual-Illuminati-New-World-order-INWO-game</t>
        </is>
      </c>
      <c r="N411" t="inlineStr">
        <is>
          <t>Passive while in play</t>
        </is>
      </c>
      <c r="O411" t="inlineStr">
        <is>
          <t>All rivals' first Plot draw each turn; self (immunity)</t>
        </is>
      </c>
      <c r="P411" t="inlineStr">
        <is>
          <t>None</t>
        </is>
      </c>
      <c r="Q411" t="inlineStr">
        <is>
          <t>Permanent while in play</t>
        </is>
      </c>
      <c r="R411" t="inlineStr">
        <is>
          <t>Rivals reveal first Plot drawn each turn to you (no notes); immune to Tornado and Hurricane</t>
        </is>
      </c>
      <c r="S411" t="inlineStr">
        <is>
          <t>NO</t>
        </is>
      </c>
      <c r="T411" t="inlineStr">
        <is>
          <t>1 incoming control arrow</t>
        </is>
      </c>
      <c r="U411" t="n">
        <v>1</v>
      </c>
      <c r="V411" t="inlineStr">
        <is>
          <t>N/A — INWO uses Plots instead of group income/money</t>
        </is>
      </c>
      <c r="W411" t="inlineStr">
        <is>
          <t>Normal group action</t>
        </is>
      </c>
      <c r="X411" t="inlineStr">
        <is>
          <t>No card-specific limit (base duplicate rules apply)</t>
        </is>
      </c>
      <c r="Y411" t="inlineStr">
        <is>
          <t>None beyond base rules</t>
        </is>
      </c>
      <c r="Z411" t="inlineStr">
        <is>
          <t>Standard response window</t>
        </is>
      </c>
      <c r="AA411" t="inlineStr">
        <is>
          <t>Specific card overrides general rules</t>
        </is>
      </c>
      <c r="AB411" t="inlineStr">
        <is>
          <t>Full card scan read; behaviour paraphrased (no card text copied)</t>
        </is>
      </c>
      <c r="AC411" t="inlineStr">
        <is>
          <t>FUNCTIONALLY COMPLETE</t>
        </is>
      </c>
      <c r="AD411" t="inlineStr">
        <is>
          <t>None</t>
        </is>
      </c>
      <c r="AE411" t="inlineStr">
        <is>
          <t>Card scan (GitHub: Cha0smagick/Virtual-Illuminati-New-World-order-INWO-game), read Sep 2026</t>
        </is>
      </c>
      <c r="AF411" t="inlineStr">
        <is>
          <t>EXACT EDGE POSITIONS VERIFIED</t>
        </is>
      </c>
      <c r="AG411" t="inlineStr">
        <is>
          <t>Verified from supplied original-card scan: Groups/INWO - The Great Pyramid.png. Triangle orientation establishes IN=TOP, OUT=BOTTOM.</t>
        </is>
      </c>
      <c r="AH411" t="inlineStr">
        <is>
          <t>TOP</t>
        </is>
      </c>
      <c r="AI411" t="inlineStr">
        <is>
          <t>BOTTOM</t>
        </is>
      </c>
      <c r="AJ411" t="inlineStr">
        <is>
          <t>VERIFIED</t>
        </is>
      </c>
      <c r="AK411" t="inlineStr">
        <is>
          <t>Verified from supplied original-card scan: Groups/INWO - The Great Pyramid.png. Triangle orientation establishes IN=TOP, OUT=BOTTOM.</t>
        </is>
      </c>
    </row>
    <row r="412" ht="34" customHeight="1" s="16">
      <c r="A412" s="20" t="inlineStr">
        <is>
          <t>Pyramid Marketing Schemes</t>
        </is>
      </c>
      <c r="B412" s="20" t="inlineStr">
        <is>
          <t>Group</t>
        </is>
      </c>
      <c r="C412" s="20" t="inlineStr">
        <is>
          <t>Promo</t>
        </is>
      </c>
      <c r="D412" s="20" t="inlineStr">
        <is>
          <t>Promo</t>
        </is>
      </c>
      <c r="E412" s="20" t="inlineStr">
        <is>
          <t>1</t>
        </is>
      </c>
      <c r="F412" s="20" t="inlineStr">
        <is>
          <t>2</t>
        </is>
      </c>
      <c r="G412" s="20" t="inlineStr">
        <is>
          <t>Straight</t>
        </is>
      </c>
      <c r="H412" s="20" t="n"/>
      <c r="I412" s="20" t="inlineStr">
        <is>
          <t>This group gains +1 Power and +2 Resistance for each Fanatic group in your Power Structure.</t>
        </is>
      </c>
      <c r="J412" s="20" t="inlineStr">
        <is>
          <t>Needs rules-engine encoding</t>
        </is>
      </c>
      <c r="K412" s="20" t="inlineStr">
        <is>
          <t>High</t>
        </is>
      </c>
      <c r="L412" s="20" t="inlineStr">
        <is>
          <t>No Global Power printed. No attributes. Outgoing arrow on right side.</t>
        </is>
      </c>
      <c r="M412" s="20" t="inlineStr">
        <is>
          <t>https://github.com/Cha0smagick/Virtual-Illuminati-New-World-order-INWO-game</t>
        </is>
      </c>
      <c r="N412" t="inlineStr">
        <is>
          <t>Passive while in play</t>
        </is>
      </c>
      <c r="O412" t="inlineStr">
        <is>
          <t>Self</t>
        </is>
      </c>
      <c r="P412" t="inlineStr">
        <is>
          <t>None</t>
        </is>
      </c>
      <c r="Q412" t="inlineStr">
        <is>
          <t>Permanent while in play</t>
        </is>
      </c>
      <c r="R412" t="inlineStr">
        <is>
          <t>+1 Power and +2 Resistance per Fanatic group in your Power Structure</t>
        </is>
      </c>
      <c r="S412" t="inlineStr">
        <is>
          <t>NO</t>
        </is>
      </c>
      <c r="T412" t="inlineStr">
        <is>
          <t>1 incoming control arrow</t>
        </is>
      </c>
      <c r="U412" t="n">
        <v>1</v>
      </c>
      <c r="V412" t="inlineStr">
        <is>
          <t>N/A — INWO uses Plots instead of group income/money</t>
        </is>
      </c>
      <c r="W412" t="inlineStr">
        <is>
          <t>Normal group action</t>
        </is>
      </c>
      <c r="X412" t="inlineStr">
        <is>
          <t>No card-specific limit (base duplicate rules apply)</t>
        </is>
      </c>
      <c r="Y412" t="inlineStr">
        <is>
          <t>None beyond base rules</t>
        </is>
      </c>
      <c r="Z412" t="inlineStr">
        <is>
          <t>Standard response window</t>
        </is>
      </c>
      <c r="AA412" t="inlineStr">
        <is>
          <t>Specific card overrides general rules</t>
        </is>
      </c>
      <c r="AB412" t="inlineStr">
        <is>
          <t>Full card scan read; behaviour paraphrased (no card text copied)</t>
        </is>
      </c>
      <c r="AC412" t="inlineStr">
        <is>
          <t>FUNCTIONALLY COMPLETE</t>
        </is>
      </c>
      <c r="AD412" t="inlineStr">
        <is>
          <t>None</t>
        </is>
      </c>
      <c r="AE412" t="inlineStr">
        <is>
          <t>Card scan (GitHub: Cha0smagick/Virtual-Illuminati-New-World-order-INWO-game), read Sep 2026</t>
        </is>
      </c>
      <c r="AF412" t="inlineStr">
        <is>
          <t>EXACT EDGE POSITIONS VERIFIED</t>
        </is>
      </c>
      <c r="AG412" t="inlineStr">
        <is>
          <t>Verified from supplied original-card scan: Groups/INWO - Pyramid Marketing Schemes.png. Triangle orientation establishes IN=TOP, OUT=RIGHT.</t>
        </is>
      </c>
      <c r="AH412" t="inlineStr">
        <is>
          <t>TOP</t>
        </is>
      </c>
      <c r="AI412" t="inlineStr">
        <is>
          <t>RIGHT</t>
        </is>
      </c>
      <c r="AJ412" t="inlineStr">
        <is>
          <t>VERIFIED</t>
        </is>
      </c>
      <c r="AK412" t="inlineStr">
        <is>
          <t>Verified from supplied original-card scan: Groups/INWO - Pyramid Marketing Schemes.png. Triangle orientation establishes IN=TOP, OUT=RIGHT.</t>
        </is>
      </c>
    </row>
    <row r="413" ht="34" customHeight="1" s="16">
      <c r="A413" s="20" t="inlineStr">
        <is>
          <t>Trading Card Games</t>
        </is>
      </c>
      <c r="B413" s="20" t="inlineStr">
        <is>
          <t>Group</t>
        </is>
      </c>
      <c r="C413" s="20" t="inlineStr">
        <is>
          <t>Promo</t>
        </is>
      </c>
      <c r="D413" s="20" t="inlineStr">
        <is>
          <t>Promo</t>
        </is>
      </c>
      <c r="E413" s="20" t="inlineStr">
        <is>
          <t>1</t>
        </is>
      </c>
      <c r="F413" s="20" t="inlineStr">
        <is>
          <t>2</t>
        </is>
      </c>
      <c r="G413" s="20" t="inlineStr">
        <is>
          <t>Weird</t>
        </is>
      </c>
      <c r="H413" s="20" t="n"/>
      <c r="I413" s="20" t="inlineStr">
        <is>
          <t>At any time during your turn, you may take another Group card from your hand, discard Trading Card Games, and place the new Group in exactly its position in your Power Structure, with no die roll needed.</t>
        </is>
      </c>
      <c r="J413" s="20" t="inlineStr">
        <is>
          <t>Needs rules-engine encoding</t>
        </is>
      </c>
      <c r="K413" s="20" t="inlineStr">
        <is>
          <t>High</t>
        </is>
      </c>
      <c r="L413" s="20" t="inlineStr">
        <is>
          <t>Card text does not say the swap costs an action. Only an incoming arrow (top) is visible.</t>
        </is>
      </c>
      <c r="M413" s="20" t="inlineStr">
        <is>
          <t>https://github.com/Cha0smagick/Virtual-Illuminati-New-World-order-INWO-game</t>
        </is>
      </c>
      <c r="N413" t="inlineStr">
        <is>
          <t>Any time during your turn</t>
        </is>
      </c>
      <c r="O413" t="inlineStr">
        <is>
          <t>Self and one Group card from your hand</t>
        </is>
      </c>
      <c r="P413" t="inlineStr">
        <is>
          <t>Discard Trading Card Games</t>
        </is>
      </c>
      <c r="Q413" t="inlineStr">
        <is>
          <t>Immediate</t>
        </is>
      </c>
      <c r="R413" t="inlineStr">
        <is>
          <t>Replace this group with a Group from hand in the same Power Structure slot; automatic, no roll</t>
        </is>
      </c>
      <c r="S413" t="inlineStr">
        <is>
          <t>NO</t>
        </is>
      </c>
      <c r="T413" t="inlineStr">
        <is>
          <t>1 incoming control arrow</t>
        </is>
      </c>
      <c r="U413" t="n">
        <v>0</v>
      </c>
      <c r="V413" t="inlineStr">
        <is>
          <t>N/A — INWO uses Plots instead of group income/money</t>
        </is>
      </c>
      <c r="W413" t="inlineStr">
        <is>
          <t>Normal group action</t>
        </is>
      </c>
      <c r="X413" t="inlineStr">
        <is>
          <t>No card-specific limit (base duplicate rules apply)</t>
        </is>
      </c>
      <c r="Y413" t="inlineStr">
        <is>
          <t>Must be your turn; must have another Group card in hand</t>
        </is>
      </c>
      <c r="Z413" t="inlineStr">
        <is>
          <t>Standard response window</t>
        </is>
      </c>
      <c r="AA413" t="inlineStr">
        <is>
          <t>Specific card overrides general rules</t>
        </is>
      </c>
      <c r="AB413" t="inlineStr">
        <is>
          <t>Full card scan read; behaviour paraphrased (no card text copied)</t>
        </is>
      </c>
      <c r="AC413" t="inlineStr">
        <is>
          <t>FUNCTIONALLY COMPLETE</t>
        </is>
      </c>
      <c r="AD413" t="inlineStr">
        <is>
          <t>None</t>
        </is>
      </c>
      <c r="AE413" t="inlineStr">
        <is>
          <t>Card scan (GitHub: Cha0smagick/Virtual-Illuminati-New-World-order-INWO-game), read Sep 2026</t>
        </is>
      </c>
      <c r="AF413" t="inlineStr">
        <is>
          <t>EXACT EDGE POSITIONS VERIFIED</t>
        </is>
      </c>
      <c r="AG413" t="inlineStr">
        <is>
          <t>Verified from supplied original-card scan: Groups/INWO - Trading Card Games.png. Triangle orientation establishes IN=TOP, OUT=NONE.</t>
        </is>
      </c>
      <c r="AH413" t="inlineStr">
        <is>
          <t>TOP</t>
        </is>
      </c>
      <c r="AI413" t="inlineStr">
        <is>
          <t>NONE</t>
        </is>
      </c>
      <c r="AJ413" t="inlineStr">
        <is>
          <t>VERIFIED</t>
        </is>
      </c>
      <c r="AK413" t="inlineStr">
        <is>
          <t>Verified from supplied original-card scan: Groups/INWO - Trading Card Games.png. Triangle orientation establishes IN=TOP, OUT=NONE.</t>
        </is>
      </c>
    </row>
  </sheetData>
  <conditionalFormatting sqref="K2:K413">
    <cfRule type="expression" priority="1" dxfId="0">
      <formula>K2="Low"</formula>
    </cfRule>
    <cfRule type="expression" priority="2" dxfId="1">
      <formula>K2="High"</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5"/>
  <sheetViews>
    <sheetView tabSelected="1" workbookViewId="0">
      <pane ySplit="1" topLeftCell="A2" activePane="bottomLeft" state="frozen"/>
      <selection pane="bottomLeft" activeCell="A1" sqref="A1"/>
    </sheetView>
  </sheetViews>
  <sheetFormatPr baseColWidth="8" defaultRowHeight="15"/>
  <cols>
    <col width="9" customWidth="1" style="16" min="1" max="1"/>
    <col width="34" customWidth="1" style="16" min="2" max="2"/>
    <col width="80" customWidth="1" style="16" min="3" max="3"/>
    <col width="14" customWidth="1" style="16" min="4" max="4"/>
    <col width="50" customWidth="1" style="16" min="5" max="5"/>
    <col width="60" customWidth="1" style="16" min="6" max="6"/>
  </cols>
  <sheetData>
    <row r="1">
      <c r="A1" s="63" t="inlineStr">
        <is>
          <t>Type</t>
        </is>
      </c>
      <c r="B1" s="63" t="inlineStr">
        <is>
          <t>Item</t>
        </is>
      </c>
      <c r="C1" s="63" t="inlineStr">
        <is>
          <t>What is missing</t>
        </is>
      </c>
      <c r="D1" s="63" t="inlineStr">
        <is>
          <t>Cards</t>
        </is>
      </c>
      <c r="E1" s="63" t="inlineStr">
        <is>
          <t>How to resolve</t>
        </is>
      </c>
      <c r="F1" s="63" t="inlineStr">
        <is>
          <t>Decision</t>
        </is>
      </c>
    </row>
    <row r="2">
      <c r="A2" s="55" t="inlineStr">
        <is>
          <t>Decided</t>
        </is>
      </c>
      <c r="B2" s="55" t="inlineStr">
        <is>
          <t>Card ruling: Celebrity Spokesman</t>
        </is>
      </c>
      <c r="C2" s="55" t="inlineStr">
        <is>
          <t>The printed card is ambiguous. Interpretation currently used: 'No opposed alignments' most likely means the Organization has no alignment opposed to the Personality's; card text does not specify. Organization ownership not restricted by the card.</t>
        </is>
      </c>
      <c r="D2" s="55" t="n">
        <v>1</v>
      </c>
      <c r="E2" s="55" t="inlineStr">
        <is>
          <t>Your call (house rule)</t>
        </is>
      </c>
      <c r="F2" s="55" t="inlineStr">
        <is>
          <t>The Organization may not have any alignment opposite to one of the Personality's alignments.</t>
        </is>
      </c>
    </row>
    <row r="3">
      <c r="A3" s="55" t="inlineStr">
        <is>
          <t>Decided</t>
        </is>
      </c>
      <c r="B3" s="55" t="inlineStr">
        <is>
          <t>Card ruling: Corruption</t>
        </is>
      </c>
      <c r="C3" s="55" t="inlineStr">
        <is>
          <t>The printed card is ambiguous. Interpretation currently used: Card says supplies are stolen, implying the Relief just played is nullified (Place stays Devastated), but this is flavored rather than stated as a rule.</t>
        </is>
      </c>
      <c r="D3" s="55" t="n">
        <v>1</v>
      </c>
      <c r="E3" s="55" t="inlineStr">
        <is>
          <t>Your call (house rule)</t>
        </is>
      </c>
      <c r="F3" s="55" t="inlineStr">
        <is>
          <t>The Relief just played is cancelled and the Place stays Devastated; no new Relief on it until after your next turn.</t>
        </is>
      </c>
    </row>
    <row r="4">
      <c r="A4" s="55" t="inlineStr">
        <is>
          <t>Decided</t>
        </is>
      </c>
      <c r="B4" s="55" t="inlineStr">
        <is>
          <t>Card ruling: Weather Satellite</t>
        </is>
      </c>
      <c r="C4" s="55" t="inlineStr">
        <is>
          <t>The printed card is ambiguous. Interpretation currently used: Printed: +8/-4 to Hurricane, Tidal Wave, Tornado. Errata changes the bonus to +10 and swaps Tidal Wave for Rain of Frogs; assumed the -4 decrease stays and that Tidal Wave now falls under the general +4/-2 clause.</t>
        </is>
      </c>
      <c r="D4" s="55" t="n">
        <v>1</v>
      </c>
      <c r="E4" s="55" t="inlineStr">
        <is>
          <t>Your call (house rule)</t>
        </is>
      </c>
      <c r="F4" s="55" t="inlineStr">
        <is>
          <t>+10 replaces the printed bonus for Tornado, Hurricane and Rain of Frogs; the -4 option still applies to those three; Tidal Wave gets no special modifier.</t>
        </is>
      </c>
    </row>
    <row r="5">
      <c r="A5" s="55" t="inlineStr">
        <is>
          <t>Decided</t>
        </is>
      </c>
      <c r="B5" s="55" t="inlineStr">
        <is>
          <t>Turn direction</t>
        </is>
      </c>
      <c r="C5" s="55" t="inlineStr">
        <is>
          <t>Rules v1.2 says play passes "to the left" in one place and "counterclockwise" in another. Pick one for the engine.</t>
        </is>
      </c>
      <c r="D5" s="55" t="inlineStr">
        <is>
          <t>—</t>
        </is>
      </c>
      <c r="E5" s="55" t="inlineStr">
        <is>
          <t>Your call</t>
        </is>
      </c>
      <c r="F5" s="55" t="inlineStr">
        <is>
          <t>Seat order (the order players joined the game).</t>
        </is>
      </c>
    </row>
    <row r="6">
      <c r="A6" s="55" t="inlineStr">
        <is>
          <t>Decided</t>
        </is>
      </c>
      <c r="B6" s="55" t="inlineStr">
        <is>
          <t>Exposing Secret Groups</t>
        </is>
      </c>
      <c r="C6" s="55" t="inlineStr">
        <is>
          <t>The rules say who can and cannot interact with Secret Groups, but not how one becomes exposed. See R014.</t>
        </is>
      </c>
      <c r="D6" s="55" t="inlineStr">
        <is>
          <t>—</t>
        </is>
      </c>
      <c r="E6" s="55" t="inlineStr">
        <is>
          <t>Your call, or a card that defines exposure</t>
        </is>
      </c>
      <c r="F6" s="55" t="inlineStr">
        <is>
          <t>No exposure mechanic: Secret Groups are face up in play and only have the targeting protections in R014.</t>
        </is>
      </c>
    </row>
    <row r="7">
      <c r="A7" s="55" t="inlineStr">
        <is>
          <t>Decided</t>
        </is>
      </c>
      <c r="B7" s="55" t="inlineStr">
        <is>
          <t>Moving Groups</t>
        </is>
      </c>
      <c r="C7" s="55" t="inlineStr">
        <is>
          <t>Rules text allows moving a Group to an open arrow on "any Group in play", but it presumably means your own Power Structure. See the movement rule in Core Rules.</t>
        </is>
      </c>
      <c r="D7" s="55" t="inlineStr">
        <is>
          <t>—</t>
        </is>
      </c>
      <c r="E7" s="55" t="inlineStr">
        <is>
          <t>Your call</t>
        </is>
      </c>
      <c r="F7" s="55" t="inlineStr">
        <is>
          <t>A Group may only be moved to an open arrow within its controller's own Power Structure.</t>
        </is>
      </c>
    </row>
    <row r="8">
      <c r="A8" s="55" t="inlineStr">
        <is>
          <t>Decided</t>
        </is>
      </c>
      <c r="B8" s="55" t="inlineStr">
        <is>
          <t>Taking over Resources</t>
        </is>
      </c>
      <c r="C8" s="55" t="inlineStr">
        <is>
          <t>The rules only cover gaining a rival's Resource by capturing the Group it is linked to; R002's automatic takeover of a Resource with an Illuminati action comes from the Rules Update.</t>
        </is>
      </c>
      <c r="D8" s="55" t="inlineStr">
        <is>
          <t>—</t>
        </is>
      </c>
      <c r="E8" s="55" t="inlineStr">
        <is>
          <t>Rules Update (already in R002)</t>
        </is>
      </c>
      <c r="F8" s="55" t="inlineStr">
        <is>
          <t>Capture of the linked Group (rulebook) plus an Illuminati action to put a Resource into play (Rules Update, R002).</t>
        </is>
      </c>
    </row>
    <row r="9">
      <c r="A9" s="55" t="inlineStr">
        <is>
          <t>Decided</t>
        </is>
      </c>
      <c r="B9" s="55" t="inlineStr">
        <is>
          <t>Ambiguity notes on other cards</t>
        </is>
      </c>
      <c r="C9" s="55" t="inlineStr">
        <is>
          <t>Some cards marked complete have a note in Research Notes explaining a minor reading, e.g. Mass Murder, Gremlins, Head in a Jar, The Stars Are Right, Mob Influence. These are usable as written; review only if you want to change the reading.</t>
        </is>
      </c>
      <c r="D9" s="55" t="inlineStr">
        <is>
          <t>see notes</t>
        </is>
      </c>
      <c r="E9" s="55" t="inlineStr">
        <is>
          <t>Research Notes column</t>
        </is>
      </c>
      <c r="F9" s="55" t="inlineStr">
        <is>
          <t>Use the readings in Research Notes as written.</t>
        </is>
      </c>
    </row>
    <row r="10">
      <c r="A10" s="55" t="n"/>
      <c r="B10" s="55" t="n"/>
      <c r="C10" s="55" t="n"/>
      <c r="D10" s="55" t="n"/>
      <c r="E10" s="55" t="n"/>
    </row>
    <row r="11">
      <c r="A11" s="65" t="inlineStr">
        <is>
          <t>Legend</t>
        </is>
      </c>
      <c r="B11" s="64" t="inlineStr">
        <is>
          <t>Every research item from the previous list is finished: all 241 provisional cards were read from full card scans, the 6 Groups now have stats, duplicate/play/response/action fields are filled on every card, and the core rules are spelled out. What remains are decisions only you can make, because the original game itself is unclear on them.</t>
        </is>
      </c>
    </row>
    <row r="15">
      <c r="B15" s="1" t="n"/>
      <c r="C15" s="1" t="n"/>
      <c r="D15" s="1" t="n"/>
      <c r="E15" s="1" t="n"/>
    </row>
  </sheetData>
  <mergeCells count="1">
    <mergeCell ref="B15:E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tabSelected="0" workbookViewId="0">
      <pane ySplit="1" topLeftCell="A2" activePane="bottomLeft" state="frozen"/>
      <selection pane="bottomLeft" activeCell="A1" sqref="A1"/>
    </sheetView>
  </sheetViews>
  <sheetFormatPr baseColWidth="8" defaultRowHeight="15"/>
  <cols>
    <col width="24" customWidth="1" style="16" min="1" max="1"/>
    <col width="26" customWidth="1" style="16" min="2" max="2"/>
    <col width="80" customWidth="1" style="16" min="3" max="3"/>
    <col width="60" customWidth="1" style="16" min="4" max="4"/>
  </cols>
  <sheetData>
    <row r="1">
      <c r="A1" s="63" t="inlineStr">
        <is>
          <t>Tab</t>
        </is>
      </c>
      <c r="B1" s="63" t="inlineStr">
        <is>
          <t>Cells</t>
        </is>
      </c>
      <c r="C1" s="63" t="inlineStr">
        <is>
          <t>Change</t>
        </is>
      </c>
      <c r="D1" s="63" t="inlineStr">
        <is>
          <t>Reason</t>
        </is>
      </c>
    </row>
    <row r="2">
      <c r="A2" s="55" t="inlineStr">
        <is>
          <t>Card Database</t>
        </is>
      </c>
      <c r="B2" s="55" t="inlineStr">
        <is>
          <t>A7</t>
        </is>
      </c>
      <c r="C2" s="55" t="inlineStr">
        <is>
          <t>Renamed "Network" → "The Network"</t>
        </is>
      </c>
      <c r="D2" s="55" t="inlineStr">
        <is>
          <t>Name matches the 1995 official SJ Games card list and the card-scan filename</t>
        </is>
      </c>
    </row>
    <row r="3">
      <c r="A3" s="55" t="inlineStr">
        <is>
          <t>Card Database</t>
        </is>
      </c>
      <c r="B3" s="55" t="inlineStr">
        <is>
          <t>A60</t>
        </is>
      </c>
      <c r="C3" s="55" t="inlineStr">
        <is>
          <t>Renamed "EEF" → "EFF"</t>
        </is>
      </c>
      <c r="D3" s="55" t="inlineStr">
        <is>
          <t>Name matches the 1995 official SJ Games card list and the card-scan filename</t>
        </is>
      </c>
    </row>
    <row r="4">
      <c r="A4" s="55" t="inlineStr">
        <is>
          <t>Card Database</t>
        </is>
      </c>
      <c r="B4" s="55" t="inlineStr">
        <is>
          <t>A127</t>
        </is>
      </c>
      <c r="C4" s="55" t="inlineStr">
        <is>
          <t>Renamed "Semiconscious Liberal Army" → "Semiconscious Liberation Army"</t>
        </is>
      </c>
      <c r="D4" s="55" t="inlineStr">
        <is>
          <t>Name matches the 1995 official SJ Games card list and the card-scan filename</t>
        </is>
      </c>
    </row>
    <row r="5">
      <c r="A5" s="55" t="inlineStr">
        <is>
          <t>Card Database</t>
        </is>
      </c>
      <c r="B5" s="55" t="inlineStr">
        <is>
          <t>A282</t>
        </is>
      </c>
      <c r="C5" s="55" t="inlineStr">
        <is>
          <t>Renamed "Kinder &amp; Gentler" → "Kinder and Gentler"</t>
        </is>
      </c>
      <c r="D5" s="55" t="inlineStr">
        <is>
          <t>Name matches the 1995 official SJ Games card list and the card-scan filename</t>
        </is>
      </c>
    </row>
    <row r="6">
      <c r="A6" s="55" t="inlineStr">
        <is>
          <t>Card Database</t>
        </is>
      </c>
      <c r="B6" s="55" t="inlineStr">
        <is>
          <t>A367</t>
        </is>
      </c>
      <c r="C6" s="55" t="inlineStr">
        <is>
          <t>Renamed "Upheaval" → "Upheaval!"</t>
        </is>
      </c>
      <c r="D6" s="55" t="inlineStr">
        <is>
          <t>Name matches the 1995 official SJ Games card list and the card-scan filename</t>
        </is>
      </c>
    </row>
    <row r="7">
      <c r="A7" s="55" t="inlineStr">
        <is>
          <t>Complete Scan Geometry Audit</t>
        </is>
      </c>
      <c r="B7" s="55" t="inlineStr">
        <is>
          <t>A26</t>
        </is>
      </c>
      <c r="C7" s="55" t="inlineStr">
        <is>
          <t>Renamed "EEF" → "EFF"</t>
        </is>
      </c>
      <c r="D7" s="55" t="inlineStr">
        <is>
          <t>Name matches the 1995 official SJ Games card list and the card-scan filename</t>
        </is>
      </c>
    </row>
    <row r="8">
      <c r="A8" s="55" t="inlineStr">
        <is>
          <t>Complete Scan Geometry Audit</t>
        </is>
      </c>
      <c r="B8" s="55" t="inlineStr">
        <is>
          <t>A93</t>
        </is>
      </c>
      <c r="C8" s="55" t="inlineStr">
        <is>
          <t>Renamed "Semiconscious Liberal Army" → "Semiconscious Liberation Army"</t>
        </is>
      </c>
      <c r="D8" s="55" t="inlineStr">
        <is>
          <t>Name matches the 1995 official SJ Games card list and the card-scan filename</t>
        </is>
      </c>
    </row>
    <row r="9">
      <c r="A9" s="55" t="inlineStr">
        <is>
          <t>Card Database</t>
        </is>
      </c>
      <c r="B9" s="55" t="inlineStr">
        <is>
          <t>Rarity (D2:D413)</t>
        </is>
      </c>
      <c r="C9" s="55" t="inlineStr">
        <is>
          <t>Filled Rarity for 409 cards: Illuminati (fixed) 9, Uncommon 100, Common 200, Rare 100</t>
        </is>
      </c>
      <c r="D9" s="55" t="inlineStr">
        <is>
          <t>Column was blank for 409 cards; values from the 1995 official card list</t>
        </is>
      </c>
    </row>
    <row r="10">
      <c r="A10" s="55" t="inlineStr">
        <is>
          <t>Card Database</t>
        </is>
      </c>
      <c r="B10" s="55" t="inlineStr">
        <is>
          <t>Subtype</t>
        </is>
      </c>
      <c r="C10" s="55" t="inlineStr">
        <is>
          <t>Reclassified 11 Plots whose Subtype disagreed with the official list: Air Magic: Disaster→Plot; Bodyguard: Assassination→Plot; Clone: Assassination→Plot; Combined Disasters: Disaster→Plot; Early Warning: Disaster→Plot; Earth Magic: Disaster→Plot; Impostor: Assassination→Plot; Mistaken Identity: Assassination→Plot; Spasm of Violence: Assassination→Plot; Talisman of Ahrimanes: Assassination→Plot; Volunteer Aid: Disaster→Plot</t>
        </is>
      </c>
      <c r="D10" s="55" t="inlineStr">
        <is>
          <t>Official list marks only 13 Plots as Disasters and 5 as Assassinations; the others are ordinary Plots that interact with them</t>
        </is>
      </c>
    </row>
    <row r="11">
      <c r="A11" s="55" t="inlineStr">
        <is>
          <t>Card Database</t>
        </is>
      </c>
      <c r="B11" s="55" t="inlineStr">
        <is>
          <t>Mechanical Behavior + Modifier columns</t>
        </is>
      </c>
      <c r="C11" s="55" t="inlineStr">
        <is>
          <t>Appended official errata to 15 card rows: Gnomes of Zurich, Shangri-La, Political Correctness, Video Games, China, Orbit One, Combined Disasters, Seize The Time, The Oregon Crud, Upheaval!, Volcano, Voodoo Economics, Clipper Chip, Eliza, Weather Satellite</t>
        </is>
      </c>
      <c r="D11" s="55" t="inlineStr">
        <is>
          <t>Official Errata tab says it overrides card text, but the card rows did not include it</t>
        </is>
      </c>
    </row>
    <row r="12">
      <c r="A12" s="55" t="inlineStr">
        <is>
          <t>Card Database</t>
        </is>
      </c>
      <c r="B12" s="55" t="inlineStr">
        <is>
          <t>Functional Completeness / Remaining Blocker</t>
        </is>
      </c>
      <c r="C12" s="55" t="inlineStr">
        <is>
          <t>241 rows changed from "FUNCTIONALLY COMPLETE" / "None" to "PROVISIONAL" with the blocker stated</t>
        </is>
      </c>
      <c r="D12" s="55" t="inlineStr">
        <is>
          <t>These rows are also marked "Needs exact card verification = YES" (or have missing stats), which the Verification Ledger’s exact-build gate says cannot count as complete</t>
        </is>
      </c>
    </row>
    <row r="13">
      <c r="A13" s="55" t="inlineStr">
        <is>
          <t>Set Integrity</t>
        </is>
      </c>
      <c r="B13" s="55" t="inlineStr">
        <is>
          <t>whole tab</t>
        </is>
      </c>
      <c r="C13" s="55" t="inlineStr">
        <is>
          <t>Corrected Groups 166→164 regular + 3 Specials, Resources 34→36; added live Database count and OK/MISMATCH check formulas</t>
        </is>
      </c>
      <c r="D13" s="55" t="inlineStr">
        <is>
          <t>Old figures summed to 409, not 412, and did not match the Card Database</t>
        </is>
      </c>
    </row>
    <row r="14">
      <c r="A14" s="55" t="inlineStr">
        <is>
          <t>Verification Ledger</t>
        </is>
      </c>
      <c r="B14" s="55" t="inlineStr">
        <is>
          <t>B2 + new row 7</t>
        </is>
      </c>
      <c r="C14" s="55" t="inlineStr">
        <is>
          <t>Corrected the canonical-count sentence; recorded the official-list cross-check</t>
        </is>
      </c>
      <c r="D14" s="55" t="inlineStr">
        <is>
          <t>Matched the corrected Set Integrity counts</t>
        </is>
      </c>
    </row>
    <row r="15">
      <c r="A15" s="55" t="inlineStr">
        <is>
          <t>Build Readiness</t>
        </is>
      </c>
      <c r="B15" s="55" t="inlineStr">
        <is>
          <t>B3:C3</t>
        </is>
      </c>
      <c r="C15" s="55" t="inlineStr">
        <is>
          <t>"Card functional effects": COMPLETE 412/412 → 171 COMPLETE / 241 PROVISIONAL</t>
        </is>
      </c>
      <c r="D15" s="55" t="inlineStr">
        <is>
          <t>Out of date vs. Arrow Geometry Status / Card Database</t>
        </is>
      </c>
    </row>
    <row r="16">
      <c r="A16" s="55" t="inlineStr">
        <is>
          <t>Build Readiness</t>
        </is>
      </c>
      <c r="B16" s="55" t="inlineStr">
        <is>
          <t>B8:C8</t>
        </is>
      </c>
      <c r="C16" s="55" t="inlineStr">
        <is>
          <t>"Physical arrow edge orientation": SCHEMA ADDED / PARTIALLY VERIFIED → COMPLETE (176 / 176)</t>
        </is>
      </c>
      <c r="D16" s="55" t="inlineStr">
        <is>
          <t>Out of date vs. Arrow Geometry Status / Card Database</t>
        </is>
      </c>
    </row>
    <row r="17">
      <c r="A17" s="55" t="inlineStr">
        <is>
          <t>Build Readiness</t>
        </is>
      </c>
      <c r="B17" s="55" t="inlineStr">
        <is>
          <t>B9:C9</t>
        </is>
      </c>
      <c r="C17" s="55" t="inlineStr">
        <is>
          <t>"Can build functional digital INWO engine?": YES → YES — PROTOTYPE</t>
        </is>
      </c>
      <c r="D17" s="55" t="inlineStr">
        <is>
          <t>Out of date vs. Arrow Geometry Status / Card Database</t>
        </is>
      </c>
    </row>
    <row r="18">
      <c r="A18" s="55" t="inlineStr">
        <is>
          <t>Build Readiness</t>
        </is>
      </c>
      <c r="B18" s="55" t="inlineStr">
        <is>
          <t>B10:C10</t>
        </is>
      </c>
      <c r="C18" s="55" t="inlineStr">
        <is>
          <t>"Pixel-faithful physical table geometry?": NOT YET → YES (arrow edges)</t>
        </is>
      </c>
      <c r="D18" s="55" t="inlineStr">
        <is>
          <t>Out of date vs. Arrow Geometry Status / Card Database</t>
        </is>
      </c>
    </row>
    <row r="19">
      <c r="A19" s="55" t="inlineStr">
        <is>
          <t>Arrow Geometry Status</t>
        </is>
      </c>
      <c r="B19" s="55" t="inlineStr">
        <is>
          <t>Column D (new)</t>
        </is>
      </c>
      <c r="C19" s="55" t="inlineStr">
        <is>
          <t>Added "Current?" flag; intermediate pass totals (e.g. 18/31/35 verified, 154/135/132 open) marked Superseded</t>
        </is>
      </c>
      <c r="D19" s="55" t="inlineStr">
        <is>
          <t>Tab is a running log; older totals contradicted the final 176 VERIFIED / 0 OPEN</t>
        </is>
      </c>
    </row>
    <row r="20">
      <c r="A20" s="55" t="inlineStr">
        <is>
          <t>Field Guide / Sources</t>
        </is>
      </c>
      <c r="B20" s="55" t="inlineStr">
        <is>
          <t>appended rows</t>
        </is>
      </c>
      <c r="C20" s="55" t="inlineStr">
        <is>
          <t>Defined Rarity, Engine Implementation Status and Functional Completeness; added the official-list source</t>
        </is>
      </c>
      <c r="D20" s="55" t="inlineStr">
        <is>
          <t>Clarifies why "Needs rules-engine encoding" and "COMPLETE" are not contradictory</t>
        </is>
      </c>
    </row>
    <row r="21">
      <c r="A21" s="55" t="inlineStr">
        <is>
          <t>Card Database</t>
        </is>
      </c>
      <c r="B21" s="55" t="inlineStr">
        <is>
          <t>241 rows</t>
        </is>
      </c>
      <c r="C21" s="55" t="inlineStr">
        <is>
          <t>Filled full paraphrased behaviour, attack Power, trigger, target, cost, duration, modifier, duplicate rule, play requirement, response window and action tokens from full card scans; 238 High confidence, 3 flagged for a house ruling</t>
        </is>
      </c>
      <c r="D21" s="55" t="inlineStr">
        <is>
          <t>Owner asked to finish all research; no card text copied</t>
        </is>
      </c>
    </row>
    <row r="22">
      <c r="A22" s="55" t="inlineStr">
        <is>
          <t>Card Database</t>
        </is>
      </c>
      <c r="B22" s="55" t="inlineStr">
        <is>
          <t>6 Groups</t>
        </is>
      </c>
      <c r="C22" s="55" t="inlineStr">
        <is>
          <t>Filled Power/Resistance/Alignments for Anti-War Activists, Paranoids, Elvis, The Great Pyramid, Pyramid Marketing Schemes, Trading Card Games</t>
        </is>
      </c>
      <c r="D22" s="55" t="inlineStr">
        <is>
          <t>Read from card scans</t>
        </is>
      </c>
    </row>
    <row r="23">
      <c r="A23" s="55" t="inlineStr">
        <is>
          <t>Card Database</t>
        </is>
      </c>
      <c r="B23" s="55" t="inlineStr">
        <is>
          <t>Mossad</t>
        </is>
      </c>
      <c r="C23" s="55" t="inlineStr">
        <is>
          <t>Alignments "Violent, Corporate" → "Violent, Government"</t>
        </is>
      </c>
      <c r="D23" s="55" t="inlineStr">
        <is>
          <t>Card scan; the other 26 disputed Groups matched the database</t>
        </is>
      </c>
    </row>
    <row r="24">
      <c r="A24" s="55" t="inlineStr">
        <is>
          <t>Card Database</t>
        </is>
      </c>
      <c r="B24" s="55" t="inlineStr">
        <is>
          <t>171 verified rows</t>
        </is>
      </c>
      <c r="C24" s="55" t="inlineStr">
        <is>
          <t>Replaced generic "UNVERIFIED" placeholders in duplicate/play/response/action columns with the base-rule default</t>
        </is>
      </c>
      <c r="D24" s="55" t="inlineStr">
        <is>
          <t>Verified mechanics contain no card-specific override</t>
        </is>
      </c>
    </row>
    <row r="25">
      <c r="A25" s="55" t="inlineStr">
        <is>
          <t>Core Rules</t>
        </is>
      </c>
      <c r="B25" s="55" t="inlineStr">
        <is>
          <t>R001–R050</t>
        </is>
      </c>
      <c r="C25" s="55" t="inlineStr">
        <is>
          <t>Rewrote 7 vague rules, confirmed R003/R004/R006 (keeping the Rules Update details), and added 26 new rules R025–R050; new Status column</t>
        </is>
      </c>
      <c r="D25" s="55" t="inlineStr">
        <is>
          <t>Paraphrased from the official rules v1.2</t>
        </is>
      </c>
    </row>
    <row r="26">
      <c r="A26" s="55" t="inlineStr">
        <is>
          <t>Core Rules / How to Play / Game State Model / Timing</t>
        </is>
      </c>
      <c r="B26" s="55" t="inlineStr">
        <is>
          <t>R005, section 12, E24, C9</t>
        </is>
      </c>
      <c r="C26" s="55" t="inlineStr">
        <is>
          <t>Removed "Attack to Neutralize"</t>
        </is>
      </c>
      <c r="D26" s="55" t="inlineStr">
        <is>
          <t>It is not an INWO rule (it comes from the older non-collectible game)</t>
        </is>
      </c>
    </row>
    <row r="27">
      <c r="A27" s="55" t="inlineStr">
        <is>
          <t>Build Readiness / Verification Ledger / Research Needed</t>
        </is>
      </c>
      <c r="B27" s="55" t="inlineStr">
        <is>
          <t>—</t>
        </is>
      </c>
      <c r="C27" s="55" t="inlineStr">
        <is>
          <t>Updated to show research complete; Research Needed now lists only owner decisions</t>
        </is>
      </c>
      <c r="D27" s="55" t="inlineStr">
        <is>
          <t>Reflects the new data</t>
        </is>
      </c>
    </row>
    <row r="28">
      <c r="A28" s="55" t="inlineStr">
        <is>
          <t>Research Needed</t>
        </is>
      </c>
      <c r="B28" s="55" t="inlineStr">
        <is>
          <t>Multinational Oil item</t>
        </is>
      </c>
      <c r="C28" s="55" t="inlineStr">
        <is>
          <t>Removed: the printed card title is "Multinational Oil Companies", matching the workbook</t>
        </is>
      </c>
      <c r="D28" s="55" t="inlineStr">
        <is>
          <t>Card scan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cols>
    <col width="24" customWidth="1" style="16" min="1" max="1"/>
    <col width="85" customWidth="1" style="16" min="2" max="2"/>
  </cols>
  <sheetData>
    <row r="1">
      <c r="A1" s="4" t="inlineStr">
        <is>
          <t>Field</t>
        </is>
      </c>
      <c r="B1" s="4" t="inlineStr">
        <is>
          <t>Meaning</t>
        </is>
      </c>
    </row>
    <row r="2">
      <c r="A2" t="inlineStr">
        <is>
          <t>Purpose</t>
        </is>
      </c>
      <c r="B2" t="inlineStr">
        <is>
          <t>Working research database for reconstructing INWO gameplay mechanics without reproducing card artwork or verbatim card prose.</t>
        </is>
      </c>
    </row>
    <row r="3">
      <c r="A3" t="inlineStr">
        <is>
          <t>Coverage target</t>
        </is>
      </c>
      <c r="B3" t="inlineStr">
        <is>
          <t>412 Limited Edition cards = 409-card original distribution + 3 magazine promos.</t>
        </is>
      </c>
    </row>
    <row r="4">
      <c r="A4" t="inlineStr">
        <is>
          <t>Card Type</t>
        </is>
      </c>
      <c r="B4" t="inlineStr">
        <is>
          <t>Illuminati, Group, Resource, or Plot.</t>
        </is>
      </c>
    </row>
    <row r="5">
      <c r="A5" t="inlineStr">
        <is>
          <t>Subtype</t>
        </is>
      </c>
      <c r="B5" t="inlineStr">
        <is>
          <t>Organization, Personality, Place, Goal, NWO, Disaster, Assassination, Promo, etc.</t>
        </is>
      </c>
    </row>
    <row r="6">
      <c r="A6" t="inlineStr">
        <is>
          <t>Power / Global</t>
        </is>
      </c>
      <c r="B6" t="inlineStr">
        <is>
          <t>For Groups, X/Y means regular Power / Global Power. * means the printed value is governed by a card-specific rule. For Disasters, Assassinations and other Plots that make their own attack, this column holds the attack Power.</t>
        </is>
      </c>
    </row>
    <row r="7">
      <c r="A7" t="inlineStr">
        <is>
          <t>Resistance</t>
        </is>
      </c>
      <c r="B7" t="inlineStr">
        <is>
          <t>Printed Resistance; * means a card-specific rule modifies how it works.</t>
        </is>
      </c>
    </row>
    <row r="8">
      <c r="A8" t="inlineStr">
        <is>
          <t>Mechanical Behavior</t>
        </is>
      </c>
      <c r="B8" t="inlineStr">
        <is>
          <t>Paraphrased functional effect. This is intended to become executable rules logic, not a reproduction of original prose.</t>
        </is>
      </c>
    </row>
    <row r="9">
      <c r="A9" t="inlineStr">
        <is>
          <t>Confidence: High</t>
        </is>
      </c>
      <c r="B9" t="inlineStr">
        <is>
          <t>Directly supported by the public checklist/rules for the fields shown.</t>
        </is>
      </c>
    </row>
    <row r="10">
      <c r="A10" t="inlineStr">
        <is>
          <t>Confidence: Medium</t>
        </is>
      </c>
      <c r="B10" t="inlineStr">
        <is>
          <t>Public summary supports the basic effect, but timing/targeting/exceptions still need verification.</t>
        </is>
      </c>
    </row>
    <row r="11">
      <c r="A11" t="inlineStr">
        <is>
          <t>Confidence: Low</t>
        </is>
      </c>
      <c r="B11" t="inlineStr">
        <is>
          <t>Known card exists, but exact mechanics are incomplete or missing from the public source.</t>
        </is>
      </c>
    </row>
    <row r="12">
      <c r="A12" t="inlineStr">
        <is>
          <t>Important limitation</t>
        </is>
      </c>
      <c r="B12" t="inlineStr">
        <is>
          <t>The 1995 checklist itself says Anti-War Activists and Ark of the Covenant lacked descriptions. Group special abilities generally need a second research pass.</t>
        </is>
      </c>
    </row>
    <row r="13">
      <c r="A13" t="inlineStr">
        <is>
          <t>Rarity</t>
        </is>
      </c>
      <c r="B13" t="inlineStr">
        <is>
          <t>From the 1995 Official Card List: Common, Uncommon, Rare, Illuminati (fixed), or Promo (the 3 magazine Specials).</t>
        </is>
      </c>
    </row>
    <row r="14">
      <c r="A14" t="inlineStr">
        <is>
          <t>Engine Implementation Status</t>
        </is>
      </c>
      <c r="B14" t="inlineStr">
        <is>
          <t>Whether the card has been coded in a game engine. "Needs rules-engine encoding" on every row simply means no engine code exists yet — it is not a research gap.</t>
        </is>
      </c>
    </row>
    <row r="15">
      <c r="A15" t="inlineStr">
        <is>
          <t>Functional Completeness</t>
        </is>
      </c>
      <c r="B15" t="inlineStr">
        <is>
          <t>FUNCTIONALLY COMPLETE = the card’s behaviour (numbers, targets, timing, limits) is confirmed well enough to implement. PROVISIONAL = usable for a prototype, but the Remaining Blocker column names what behaviour is still unconfirmed. Neither status requires copying card wording.</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62"/>
  <sheetViews>
    <sheetView tabSelected="0" workbookViewId="0">
      <selection activeCell="A1" sqref="A1"/>
    </sheetView>
  </sheetViews>
  <sheetFormatPr baseColWidth="8" defaultRowHeight="15"/>
  <cols>
    <col width="70" customWidth="1" style="16" min="1" max="1"/>
    <col width="70" customWidth="1" style="16" min="2" max="2"/>
  </cols>
  <sheetData>
    <row r="1">
      <c r="A1" s="4" t="inlineStr">
        <is>
          <t>Source</t>
        </is>
      </c>
      <c r="B1" s="4" t="inlineStr">
        <is>
          <t>Use</t>
        </is>
      </c>
    </row>
    <row r="2">
      <c r="A2" t="inlineStr">
        <is>
          <t>https://groups.google.com/g/rec.games.trading-cards.misc/c/u4SkipeKDY8</t>
        </is>
      </c>
      <c r="B2" t="inlineStr">
        <is>
          <t>1995 public INWO card checklist: names, many stats, and short mechanical summaries.</t>
        </is>
      </c>
    </row>
    <row r="3">
      <c r="A3" t="inlineStr">
        <is>
          <t>https://www.sjgames.com/inwo/rules/inwo-rules-12.pdf</t>
        </is>
      </c>
      <c r="B3" t="inlineStr">
        <is>
          <t>Official INWO rules v1.2: base engine behavior and definitions.</t>
        </is>
      </c>
    </row>
    <row r="4">
      <c r="A4" t="inlineStr">
        <is>
          <t>https://groups.google.com/g/rec.games.trading-cards.misc/c/pZqyQ8eJP48</t>
        </is>
      </c>
      <c r="B4" t="inlineStr">
        <is>
          <t>Contemporary FAQ confirming 409 initial cards plus three magazine specials.</t>
        </is>
      </c>
    </row>
    <row r="5">
      <c r="A5" t="inlineStr">
        <is>
          <t>https://groups.google.com/g/rec.games.trading-cards.misc/c/mVl4X68eCJI</t>
        </is>
      </c>
      <c r="B5" t="inlineStr">
        <is>
          <t>Identifies the three magazine promos.</t>
        </is>
      </c>
    </row>
    <row r="20">
      <c r="A20" t="inlineStr">
        <is>
          <t>Official INWO Rules</t>
        </is>
      </c>
      <c r="B20" t="inlineStr">
        <is>
          <t>https://www.sjgames.com/inwo/rules/inwo-rules-12.pdf</t>
        </is>
      </c>
      <c r="C20" t="inlineStr">
        <is>
          <t>Authoritative base rules; confirms arrows, stats, timing framework.</t>
        </is>
      </c>
    </row>
    <row r="21">
      <c r="A21" t="inlineStr">
        <is>
          <t>1995 INWO Cardlist</t>
        </is>
      </c>
      <c r="B21" t="inlineStr">
        <is>
          <t>https://groups.google.com/g/rec.games.trading-cards.misc/c/u4SkipeKDY8</t>
        </is>
      </c>
      <c r="C21" t="inlineStr">
        <is>
          <t>Contemporary 409-card checklist with stats and abbreviated mechanics.</t>
        </is>
      </c>
    </row>
    <row r="22">
      <c r="A22" t="inlineStr">
        <is>
          <t>CMU Public INWO Game</t>
        </is>
      </c>
      <c r="B22" t="inlineStr">
        <is>
          <t>https://www.cs.cmu.edu/~ralph/inwo/game/private-history.html</t>
        </is>
      </c>
      <c r="C22" t="inlineStr">
        <is>
          <t>Historical play record; documents missing exact control-arrow-location data in online references.</t>
        </is>
      </c>
    </row>
    <row r="23">
      <c r="A23" t="inlineStr">
        <is>
          <t>SJ Games INWO Book</t>
        </is>
      </c>
      <c r="B23" t="inlineStr">
        <is>
          <t>https://warehouse23.com/products/the-inwo-book</t>
        </is>
      </c>
      <c r="C23" t="inlineStr">
        <is>
          <t>Official confirmation that complete text for all 412 Limited cards exists.</t>
        </is>
      </c>
    </row>
    <row r="24">
      <c r="A24" t="inlineStr">
        <is>
          <t>Set census PDF</t>
        </is>
      </c>
      <c r="B24" t="inlineStr">
        <is>
          <t>https://eatingtoascend.com/wp-content/uploads/2025/02/IlluminatiCardsNewWorldOrderCCG.pdf</t>
        </is>
      </c>
      <c r="C24" t="inlineStr">
        <is>
          <t>Independent 412-card set census and category breakdown.</t>
        </is>
      </c>
    </row>
    <row r="26">
      <c r="A26" t="inlineStr">
        <is>
          <t>Indexed INWO Book</t>
        </is>
      </c>
      <c r="B26" t="inlineStr">
        <is>
          <t>https://www.scribd.com/document/851089808/TheINWOBook</t>
        </is>
      </c>
      <c r="C26" t="inlineStr">
        <is>
          <t>Group/Illuminati/Resource functional mechanics and Group outgoing-arrow counts; paraphrased in workbook.</t>
        </is>
      </c>
    </row>
    <row r="27">
      <c r="A27" t="inlineStr">
        <is>
          <t>Official INWO rules</t>
        </is>
      </c>
      <c r="B27" t="inlineStr">
        <is>
          <t>https://www.sjgames.com/inwo/rules/inwo-rules-12.pdf</t>
        </is>
      </c>
      <c r="C27" t="inlineStr">
        <is>
          <t>Power Structure, control-arrow and general rules.</t>
        </is>
      </c>
    </row>
    <row r="28">
      <c r="A28" t="inlineStr">
        <is>
          <t>1995 card list</t>
        </is>
      </c>
      <c r="B28" t="inlineStr">
        <is>
          <t>https://groups.google.com/g/rec.games.deckmaster/c/HVrZSaZXPWg</t>
        </is>
      </c>
      <c r="C28" t="inlineStr">
        <is>
          <t>Contemporary cross-check for stats, alignments and card identities.</t>
        </is>
      </c>
    </row>
    <row r="29">
      <c r="A29" t="inlineStr">
        <is>
          <t>INWO mailing-list format FAQ</t>
        </is>
      </c>
      <c r="B29" t="inlineStr">
        <is>
          <t>https://groups.google.com/g/rec.games.trading-cards.misc/c/TvWDXyO8w4s</t>
        </is>
      </c>
      <c r="C29" t="inlineStr">
        <is>
          <t>Documents the original card data schema including incoming/outgoing arrow edge notation.</t>
        </is>
      </c>
    </row>
    <row r="30">
      <c r="A30" t="inlineStr">
        <is>
          <t>Congressional Wives image</t>
        </is>
      </c>
      <c r="B30" t="inlineStr">
        <is>
          <t>https://www.ebay.com/itm/403190072195</t>
        </is>
      </c>
      <c r="C30" t="inlineStr">
        <is>
          <t>Visual arrow-geometry check.</t>
        </is>
      </c>
    </row>
    <row r="31">
      <c r="A31" t="inlineStr">
        <is>
          <t>Federal Reserve image</t>
        </is>
      </c>
      <c r="B31" t="inlineStr">
        <is>
          <t>https://www.ebay.com/itm/145863382359</t>
        </is>
      </c>
      <c r="C31" t="inlineStr">
        <is>
          <t>Visual arrow-geometry check.</t>
        </is>
      </c>
    </row>
    <row r="33">
      <c r="A33" t="inlineStr">
        <is>
          <t>INWO List FAQ directional schema</t>
        </is>
      </c>
      <c r="B33" t="inlineStr">
        <is>
          <t>https://groups.google.com/g/rec.games.trading-cards.misc/c/TvWDXyO8w4s</t>
        </is>
      </c>
      <c r="C33" t="inlineStr">
        <is>
          <t>Defines directional notation In:T/B and Out:T/B/L/R; includes Convenience Stores as In:T Out:R.</t>
        </is>
      </c>
    </row>
    <row r="34">
      <c r="A34" t="inlineStr">
        <is>
          <t>Official INWO rules</t>
        </is>
      </c>
      <c r="B34" t="inlineStr">
        <is>
          <t>https://www.sjgames.com/inwo/rules/inwo-rules-12.pdf</t>
        </is>
      </c>
      <c r="C34" t="inlineStr">
        <is>
          <t>Confirms Illuminati have four outgoing arrows and ordinary Groups have one incoming plus 0–3 outgoing arrows.</t>
        </is>
      </c>
    </row>
    <row r="35">
      <c r="A35" t="inlineStr">
        <is>
          <t>Ralph Melton INWO card generator</t>
        </is>
      </c>
      <c r="B35" t="inlineStr">
        <is>
          <t>https://www.cs.cmu.edu/afs/cs.cmu.edu/user/ralph/www/inwo/new.fnord.html</t>
        </is>
      </c>
      <c r="C35" t="inlineStr">
        <is>
          <t>Historical database exposes outgoing-arrow counts but not edge directions; useful for distinguishing count from geometry.</t>
        </is>
      </c>
    </row>
    <row r="37">
      <c r="A37" t="inlineStr">
        <is>
          <t>PBEM Rules: control-arrow position problem</t>
        </is>
      </c>
      <c r="B37" t="inlineStr">
        <is>
          <t>https://groups.google.com/g/io.games.sjg.inwo/c/amqhVYzDvcY</t>
        </is>
      </c>
      <c r="C37" t="inlineStr">
        <is>
          <t>Contemporary online-play rules explain that exact physical control-arrow position was the main obstacle to online INWO.</t>
        </is>
      </c>
    </row>
    <row r="38">
      <c r="A38" t="inlineStr">
        <is>
          <t>Big Media public card image</t>
        </is>
      </c>
      <c r="B38" t="inlineStr">
        <is>
          <t>https://www.ebay.com/itm/285914766843</t>
        </is>
      </c>
      <c r="C38" t="inlineStr">
        <is>
          <t>Visual verification: incoming top; outgoing left/right/bottom.</t>
        </is>
      </c>
    </row>
    <row r="39">
      <c r="A39" t="inlineStr">
        <is>
          <t>Bill Clinton public card image</t>
        </is>
      </c>
      <c r="B39" t="inlineStr">
        <is>
          <t>https://www.ebay.com/itm/145812933528</t>
        </is>
      </c>
      <c r="C39" t="inlineStr">
        <is>
          <t>Visual verification: incoming top; outgoing left/right.</t>
        </is>
      </c>
    </row>
    <row r="40">
      <c r="A40" t="inlineStr">
        <is>
          <t>Boy Sprouts public card image</t>
        </is>
      </c>
      <c r="B40" t="inlineStr">
        <is>
          <t>https://www.ebay.com/itm/276520209061</t>
        </is>
      </c>
      <c r="C40" t="inlineStr">
        <is>
          <t>Visual verification: incoming top; no outgoing arrows.</t>
        </is>
      </c>
    </row>
    <row r="41">
      <c r="A41" t="inlineStr">
        <is>
          <t>Bank of England public card image</t>
        </is>
      </c>
      <c r="B41" t="inlineStr">
        <is>
          <t>https://hollywoodsubliminals.wordpress.com/2023/06/04/illuminati-nwo-1995-2-06-bank-of-england/</t>
        </is>
      </c>
      <c r="C41" t="inlineStr">
        <is>
          <t>Visual verification: incoming top; outgoing left.</t>
        </is>
      </c>
    </row>
    <row r="42">
      <c r="A42" t="inlineStr">
        <is>
          <t>Anti-Nuclear Activists public card image</t>
        </is>
      </c>
      <c r="B42" t="inlineStr">
        <is>
          <t>https://www.ebay.co.uk/itm/145812914967</t>
        </is>
      </c>
      <c r="C42" t="inlineStr">
        <is>
          <t>Partial visual verification: outgoing right.</t>
        </is>
      </c>
    </row>
    <row r="43">
      <c r="A43" t="inlineStr">
        <is>
          <t>Complete-set scan claim</t>
        </is>
      </c>
      <c r="B43" t="inlineStr">
        <is>
          <t>https://healthglade.com/illuminati-card-game-all-the-cards-in-the-full-deck/</t>
        </is>
      </c>
      <c r="C43" t="inlineStr">
        <is>
          <t>Page states it publishes scans of the complete card set; indexed page does not expose per-card image geometry as structured text.</t>
        </is>
      </c>
    </row>
    <row r="44">
      <c r="A44" t="inlineStr">
        <is>
          <t>Official INWO Book listing</t>
        </is>
      </c>
      <c r="B44" t="inlineStr">
        <is>
          <t>https://warehouse23.com/collections/card-games/products/the-inwo-book</t>
        </is>
      </c>
      <c r="C44" t="inlineStr">
        <is>
          <t>Official source confirms all 412 Limited cards and full-color art are included in the book.</t>
        </is>
      </c>
    </row>
    <row r="46">
      <c r="A46" t="inlineStr">
        <is>
          <t>C.I.A. card image</t>
        </is>
      </c>
      <c r="B46" t="inlineStr">
        <is>
          <t>https://www.ebay.com/itm/145812973522</t>
        </is>
      </c>
      <c r="C46" t="inlineStr">
        <is>
          <t>Unlimited Edition full-card image; geometry visually verified and arrow count cross-checked.</t>
        </is>
      </c>
    </row>
    <row r="47">
      <c r="A47" t="inlineStr">
        <is>
          <t>Texas card image</t>
        </is>
      </c>
      <c r="B47" t="inlineStr">
        <is>
          <t>https://www.ebay.com/itm/145812665095</t>
        </is>
      </c>
      <c r="C47" t="inlineStr">
        <is>
          <t>Unlimited Edition full-card image; geometry visually verified and arrow count cross-checked.</t>
        </is>
      </c>
    </row>
    <row r="48">
      <c r="A48" t="inlineStr">
        <is>
          <t>Japan card image</t>
        </is>
      </c>
      <c r="B48" t="inlineStr">
        <is>
          <t>https://www.ebay.com/itm/145812220591</t>
        </is>
      </c>
      <c r="C48" t="inlineStr">
        <is>
          <t>Unlimited Edition full-card image; geometry visually verified and arrow count cross-checked.</t>
        </is>
      </c>
    </row>
    <row r="49">
      <c r="A49" t="inlineStr">
        <is>
          <t>Historical PBEM geometry method</t>
        </is>
      </c>
      <c r="B49" t="inlineStr">
        <is>
          <t>https://groups.google.com/g/io.games.sjg.inwo/c/amqhVYzDvcY</t>
        </is>
      </c>
      <c r="C49" t="inlineStr">
        <is>
          <t>Confirms exact card-edge positions mattered and describes top/clockwise edge notation.</t>
        </is>
      </c>
    </row>
    <row r="50">
      <c r="A50" t="inlineStr">
        <is>
          <t>Historical deck geometry note</t>
        </is>
      </c>
      <c r="B50" t="inlineStr">
        <is>
          <t>https://www.cs.cmu.edu/~ralph/inwo/DotW/ignorance-is-strength.html</t>
        </is>
      </c>
      <c r="C50" t="inlineStr">
        <is>
          <t>Confirms California's outgoing arrows are side-only; useful constraint, but not enough alone to assign its incoming edge.</t>
        </is>
      </c>
    </row>
    <row r="52">
      <c r="A52" t="inlineStr">
        <is>
          <t>Complete public Group scan repository</t>
        </is>
      </c>
      <c r="B52" t="inlineStr">
        <is>
          <t>https://github.com/Cha0smagick/Virtual-Illuminati-New-World-order-INWO-game</t>
        </is>
      </c>
      <c r="C52" t="inlineStr">
        <is>
          <t>Groups/ contains original-card PNG scans; card_files.json enumerates the card files.</t>
        </is>
      </c>
    </row>
    <row r="53">
      <c r="A53" t="inlineStr">
        <is>
          <t>Full 412-card proxy scan archive reference</t>
        </is>
      </c>
      <c r="B53" t="inlineStr">
        <is>
          <t>https://www.reddit.com/r/mpcproxies/comments/goeh4e/illuminati_new_world_order_mpc_ready_drive/</t>
        </is>
      </c>
      <c r="C53" t="inlineStr">
        <is>
          <t>Post states the full core set of 412 INWO cards was prepared and placed in a public Google Drive.</t>
        </is>
      </c>
    </row>
    <row r="54">
      <c r="A54" t="inlineStr">
        <is>
          <t>B.A.T.F. card image</t>
        </is>
      </c>
      <c r="B54" t="inlineStr">
        <is>
          <t>https://jp.mercari.com/item/m76498340341</t>
        </is>
      </c>
      <c r="C54" t="inlineStr">
        <is>
          <t>Top outgoing arrow visible; no side arrows; outgoing-count cross-check resolves incoming as bottom.</t>
        </is>
      </c>
    </row>
    <row r="55">
      <c r="A55" t="inlineStr">
        <is>
          <t>Druids card image</t>
        </is>
      </c>
      <c r="B55" t="inlineStr">
        <is>
          <t>https://district.net/product/druids-inwo-illuminati-new-world-855</t>
        </is>
      </c>
      <c r="C55" t="inlineStr">
        <is>
          <t>Top outgoing arrow visible; no side arrows; outgoing-count cross-check resolves incoming as bottom.</t>
        </is>
      </c>
    </row>
    <row r="56">
      <c r="A56" t="inlineStr">
        <is>
          <t>Cattle Mutilators card image</t>
        </is>
      </c>
      <c r="B56" t="inlineStr">
        <is>
          <t>https://www.ebay.com/itm/145863192742</t>
        </is>
      </c>
      <c r="C56" t="inlineStr">
        <is>
          <t>Top incoming and right outgoing visually established.</t>
        </is>
      </c>
    </row>
    <row r="57">
      <c r="A57" t="inlineStr">
        <is>
          <t>Conspiracy Theorists card image</t>
        </is>
      </c>
      <c r="B57" t="inlineStr">
        <is>
          <t>https://district.net/product/conspiracy-theorists-inwo-illumi-79b</t>
        </is>
      </c>
      <c r="C57" t="inlineStr">
        <is>
          <t>Top incoming is the sole control arrow; stored outgoing count is zero.</t>
        </is>
      </c>
    </row>
    <row r="58">
      <c r="A58" t="inlineStr">
        <is>
          <t>Official rule geometry</t>
        </is>
      </c>
      <c r="B58" t="inlineStr">
        <is>
          <t>https://www.sjgames.com/inwo/rules/inwo-rules-12.pdf</t>
        </is>
      </c>
      <c r="C58" t="inlineStr">
        <is>
          <t>Ordinary Groups have exactly one incoming control arrow and 0–3 outgoing arrows.</t>
        </is>
      </c>
    </row>
    <row r="60">
      <c r="A60" t="inlineStr">
        <is>
          <t>User-supplied complete INWO scan archive</t>
        </is>
      </c>
      <c r="B60" t="inlineStr">
        <is>
          <t>Virtual-Illuminati-New-World-order-INWO-game-main.zip</t>
        </is>
      </c>
      <c r="C60" t="inlineStr">
        <is>
          <t>Contains 167 Group PNG scans; used to resolve exact control-arrow edge geometry for the entire Group set.</t>
        </is>
      </c>
    </row>
    <row r="61">
      <c r="A61" t="inlineStr">
        <is>
          <t>Geometry extraction validation</t>
        </is>
      </c>
      <c r="B61" t="inlineStr">
        <is>
          <t>Complete Scan Geometry Audit</t>
        </is>
      </c>
      <c r="C61" t="inlineStr">
        <is>
          <t>All 167 Group scans mapped one-to-one to workbook Group records; exactly one incoming arrow per Group and corrected outgoing counts reconcile for every card.</t>
        </is>
      </c>
    </row>
    <row r="62">
      <c r="A62" t="inlineStr">
        <is>
          <t>https://github.com/Cha0smagick/Virtual-Illuminati-New-World-order-INWO-game (research/il_ascii.txt = SJ Games "Official INWO Card List", April 18 1995)</t>
        </is>
      </c>
      <c r="B62" t="inlineStr">
        <is>
          <t>Official 1995 card list (names, rarity, card type) and full-card scans used for arrow geometry and the Set Integrity cross-check.</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51"/>
  <sheetViews>
    <sheetView tabSelected="0" workbookViewId="0">
      <selection activeCell="A1" sqref="A1"/>
    </sheetView>
  </sheetViews>
  <sheetFormatPr baseColWidth="8" defaultRowHeight="15"/>
  <cols>
    <col width="24" customWidth="1" style="16" min="1" max="1"/>
    <col width="24" customWidth="1" style="16" min="2" max="2"/>
    <col width="70" customWidth="1" style="16" min="3" max="3"/>
    <col width="24" customWidth="1" style="16" min="4" max="4"/>
    <col width="55" customWidth="1" style="16" min="5" max="5"/>
    <col width="30" customWidth="1" style="16" min="6" max="6"/>
  </cols>
  <sheetData>
    <row r="1">
      <c r="A1" s="19" t="inlineStr">
        <is>
          <t>Rule ID</t>
        </is>
      </c>
      <c r="B1" s="19" t="inlineStr">
        <is>
          <t>System</t>
        </is>
      </c>
      <c r="C1" s="19" t="inlineStr">
        <is>
          <t>Implementation rule</t>
        </is>
      </c>
      <c r="D1" s="19" t="inlineStr">
        <is>
          <t>Priority</t>
        </is>
      </c>
      <c r="E1" s="19" t="inlineStr">
        <is>
          <t>Source</t>
        </is>
      </c>
      <c r="F1" s="19" t="inlineStr">
        <is>
          <t>Status</t>
        </is>
      </c>
    </row>
    <row r="2">
      <c r="A2" s="20" t="inlineStr">
        <is>
          <t>R001</t>
        </is>
      </c>
      <c r="B2" s="20" t="inlineStr">
        <is>
          <t>Turn sequence</t>
        </is>
      </c>
      <c r="C2" s="20" t="inlineStr">
        <is>
          <t>A turn has three segments run in this order. BEGINNING OF TURN: (1) The active player may draw the top card of his Plot deck (optional); at the same moment he may convert Action tokens into extra Plot draws (1 Illuminati token or 2 tokens from other Groups per extra draw). (2) He may draw the top card of his Group deck (optional). (3) He may make one automatic takeover (optional): pick any Group or Resource from hand and put it into play with no die roll. A Group must be placed with its incoming arrow on a free outgoing arrow of his Power Structure without overlapping any card, and may not duplicate a Group already in play; a Resource goes beside the Power Structure and may not duplicate a Unique Resource already in play (unless a card allows). (4) Refresh: every Group he controls that currently has no Action token receives exactly one; each Resource marked 'Action' that has no token also receives one. A Group whose current Power is 0 (reduced, not printed 0) gets none. Card-granted extra tokens are added at this step. During the whole Beginning-of-Turn segment the active player may spend Action tokens ONLY to buy Plot draws, to power Plots/abilities that directly affect one of steps 1-4, or in response to another Plot/ability/action; costless Plots/abilities are unrestricted. MAIN PHASE: (5) In any order and as many times as he can pay for (no fixed per-turn action limit; the practical limit is the tokens available, one token per Group unless cards grant more): attack to control or destroy (costs the attacker's token); move one of his Groups to another open control arrow (1 token); give a Group to another player by mutual agreement (1 token); create or move links; give/trade away an in-play Resource not yet used this turn. Once per turn each: spend an Illuminati token to put a Resource from hand into play; spend an Illuminati token to draw a Group card. Attacks are only allowed in the Main Phase of the attacker's own turn unless a Plot/ability allows otherwise (Instant Attacks). END OF TURN: (6) Resolve Plots/abilities that trigger 'at the end of your turn'. (7) Knock (signal the turn is over). Then any player, including the active one, who meets a Goal may declare victory; all players may then use Plots/abilities (and spend tokens on Plot draws or to power them) to thwart or secure it, but no attacks may be made unless a card allows. If exactly one declarer survives he wins; several surviving declarers share the win unless they are factions of the same Illuminati. If nobody wins, play passes to the next player (the text says 'to the left' and 'counterclockwise'). If a card ends a turn 'immediately', skip all remaining steps including the victory check. FREE/ANY-TIME MOVES (any segment, any player's turn, unless a rule/card forbids): trade tokens for Plot draws (not an 'action', cannot be cancelled; Resource tokens cannot be traded); use a special ability per its card timing; play a Plot per its card; discard a card from hand or return a Plot to the deck; give/trade cards from hand; aid or oppose any attack (unless Privileged). A 'free action'/'free move' card costs no token or discard. Start-of-game restriction: nobody may target, interfere with, or apply abilities to a player who has not finished his first turn (cards affecting all players, e.g. NWOs, are allowed), unless that player attacked them during his first turn.</t>
        </is>
      </c>
      <c r="D2" s="20" t="inlineStr">
        <is>
          <t>Required</t>
        </is>
      </c>
      <c r="E2" s="20" t="inlineStr">
        <is>
          <t>https://www.sjgames.com/inwo/rules/inwo-rules-12.pdf</t>
        </is>
      </c>
      <c r="F2" s="20" t="inlineStr">
        <is>
          <t>rewritten (rules v1.2: Turn Sequence (p.2-3); 'Any Time' Moves (p.3); Action Tokens (p.3); Beginning the Game (p.2); Glossary: Free Action)</t>
        </is>
      </c>
    </row>
    <row r="3">
      <c r="A3" s="20" t="inlineStr">
        <is>
          <t>R002</t>
        </is>
      </c>
      <c r="B3" s="20" t="inlineStr">
        <is>
          <t>Automatic takeover</t>
        </is>
      </c>
      <c r="C3" s="20" t="inlineStr">
        <is>
          <t>Automatic takeover is optional. An Illuminati action may instead be spent for automatic takeover of a Resource.</t>
        </is>
      </c>
      <c r="D3" s="20" t="inlineStr">
        <is>
          <t>Required</t>
        </is>
      </c>
      <c r="E3" s="20" t="inlineStr">
        <is>
          <t>https://www.sjgames.com/sjgames/inwo/rules/b/Rules_Update.html</t>
        </is>
      </c>
    </row>
    <row r="4">
      <c r="A4" s="20" t="inlineStr">
        <is>
          <t>R003</t>
        </is>
      </c>
      <c r="B4" s="20" t="inlineStr">
        <is>
          <t>Attack to Control</t>
        </is>
      </c>
      <c r="C4" s="20" t="inlineStr">
        <is>
          <t>Attacker must spend 1 Action token and must have at least one open outgoing control arrow (no puppet on it and no card occupying the space). Target: a Group in another player's Power Structure, or a Group card played from the attacker's own hand (other players may still interfere). Illuminati can never be targeted. Strength = (attacker Power + Power of aiding actions + bonuses) - (target Resistance + controlling-alignment bonus + Power Structure position bonus + opposing Power + bonuses). Leading attacker alignment modifier: +4 per alignment identical between attacker and target, -4 per opposite pair (Government/Corporate, Liberal/Conservative, Peaceful/Violent, Straight/Weird; any two Fanatic Groups are opposite; Criminal has no opposite). Only the leading attacker gets alignment modifiers. Resolution: when no one will add anything more, if strength &lt; 2 it fails with no roll; otherwise roll 2d6 and succeed if roll &lt;= strength, except a natural 11 or 12 always fails. Success: target (and its whole puppet subtree, keeping relative positions) goes onto any open arrow of the attacking Group; overlapping new cards may be rearranged keeping the same master, and any that still cannot fit are discarded. Captured Groups lose all tokens and cannot get a token that turn unless a card says so. Failure vs in-play target: nothing moves. Failure vs own-hand target: may retry with other actions this turn; if not controlled by end of turn, discard it (it was never in play, so another copy may later be played). | Official Rules Update also applies: Base target number = attacking Power minus target Resistance; +4 per identical alignment and -4 per opposed alignment, before other modifiers.</t>
        </is>
      </c>
      <c r="D4" s="20" t="inlineStr">
        <is>
          <t>Required</t>
        </is>
      </c>
      <c r="E4" s="20" t="inlineStr">
        <is>
          <t>https://www.sjgames.com/sjgames/inwo/rules/b/Rules_Update.html</t>
        </is>
      </c>
      <c r="F4" s="20" t="inlineStr">
        <is>
          <t>confirmed (rules v1.2: Attack to Control (p.8); Alignments (p.8); Resolving the Attack (p.9); Results of an Attack to Control (p.10))</t>
        </is>
      </c>
    </row>
    <row r="5">
      <c r="A5" s="20" t="inlineStr">
        <is>
          <t>R004</t>
        </is>
      </c>
      <c r="B5" s="20" t="inlineStr">
        <is>
          <t>Attack to Destroy</t>
        </is>
      </c>
      <c r="C5" s="20" t="inlineStr">
        <is>
          <t>Same procedure as Attack to Control except: target must be in play (never from hand, never an Illuminati), and may be one of the attacker's own Groups. Strength = attacker Power (+aid, +bonuses) - (target Power + position bonus + opposing Power + bonuses); target's Resistance and its master-alignment bonus are NOT used. Leading attacker alignment modifier is reversed: +4 per opposite alignment pair, -4 per identical alignment. No open control arrow needed. Aiding requires at least one alignment opposite to the target (or use of Global Power); opposing uses the same eligibility as for control (identical alignment, target's master or puppet, the target itself, or Global Power). When attacking your own Group, the target gets no position bonus; no Group may target itself or help an attack against itself. 11-12 auto-fail and strength&lt;2 no-roll rules apply. Success: target is removed permanently into the destroying player's destroyed pile (track who destroyed it for Goals); its linked Resources are destroyed too; its puppets (and their descendants) are not destroyed but lose their tokens and go back to the hand of whoever controlled the destroyed Group. A destroyed Group loses all accumulated changes if ever returned to play. | Official Rules Update also applies: Base target number = attacking Power minus defender Power; +4 per opposed alignment, -4 per identical alignment; Cthulhu adds +4.</t>
        </is>
      </c>
      <c r="D5" s="20" t="inlineStr">
        <is>
          <t>Required</t>
        </is>
      </c>
      <c r="E5" s="20" t="inlineStr">
        <is>
          <t>https://www.sjgames.com/sjgames/inwo/rules/b/Rules_Update.html</t>
        </is>
      </c>
      <c r="F5" s="20" t="inlineStr">
        <is>
          <t>confirmed (rules v1.2: Attack to Destroy (p.10); Resource Cards (p.7); The Cards Remember (p.15))</t>
        </is>
      </c>
    </row>
    <row r="6">
      <c r="A6" s="20" t="inlineStr">
        <is>
          <t>R005</t>
        </is>
      </c>
      <c r="B6" s="20" t="inlineStr">
        <is>
          <t>Attack types (no Neutralize)</t>
        </is>
      </c>
      <c r="C6" s="20" t="inlineStr">
        <is>
          <t>Rules v1.2 contain NO 'Attack to Neutralize' (that attack belongs to the non-collectible Illuminati game). The only attack kinds are Attack to Control, Attack to Destroy, and Instant Attacks (Attack to Destroy launched by a card, e.g. Assassinations and most Disasters). The nearest mechanics are Cancel (an action/Plot/ability underway is treated as never happened), Paralyze (a Group cannot spend tokens or use abilities/linked Resources and does not count for Goals), and Attribute Freeze. Any Neutralize formula or result is not specified in rules v1.2 and should be removed from the engine or marked as a house rule.</t>
        </is>
      </c>
      <c r="D6" s="20" t="inlineStr">
        <is>
          <t>Required</t>
        </is>
      </c>
      <c r="E6" s="20" t="inlineStr">
        <is>
          <t>https://www.sjgames.com/inwo/rules/inwo-rules-12.pdf</t>
        </is>
      </c>
      <c r="F6" s="20" t="inlineStr">
        <is>
          <t>corrected (rules v1.2: Attacks (p.7); Types of Plots (p.4-5); Cancellations (p.15); Glossary: Cancel, Paralyzed)</t>
        </is>
      </c>
    </row>
    <row r="7">
      <c r="A7" s="20" t="inlineStr">
        <is>
          <t>R006</t>
        </is>
      </c>
      <c r="B7" s="20" t="inlineStr">
        <is>
          <t>Defense modifiers / Power Structure position</t>
        </is>
      </c>
      <c r="C7" s="20" t="inlineStr">
        <is>
          <t>Target defense additions for attacks on in-play Groups: (a) Position: +10 if the target's master is the Illuminati; +5 if its master is directly controlled by the Illuminati (one Group away); +0 if farther. Applies to both Control and Destroy attacks, but not when the attacker destroys his own Group, and not to an Instant Attack launched by the target's owner. (b) Controlling alignment (Attack to Control only, as part of Resistance): +4 per alignment the target shares with its master, except Fanatic (two Fanatics are opposite, so no bonus); opposite alignments with the master give no penalty. Illuminati have no alignments, so direct puppets of the Illuminati get no master-alignment bonus. (c) Self-defense: when the target spends its own token to oppose, that action's Power is multiplied by 2; if it already had a multiplier, use the next integer multiplier instead (x2 becomes x3, x3 becomes x4, ...); each token the target spends gets this. This bonus does not apply to a Group defending some other Group. (d) Opposing actions from eligible Groups add their Power (or Global Power if no shared alignment and not master/puppet). (e) Duplicate Illuminati agents: +3 defense for that player's structure against the relevant Illuminati. Order of calculation for any value: set-to-value effects, then the single largest multiplier (multipliers never stack), then additions/subtractions. | Official Rules Update also applies: Target directly controlled by Illuminati receives +10 defense; target whose master is directly controlled receives +5; shared alignment with master gives +4 each.</t>
        </is>
      </c>
      <c r="D7" s="20" t="inlineStr">
        <is>
          <t>Required</t>
        </is>
      </c>
      <c r="E7" s="20" t="inlineStr">
        <is>
          <t>https://www.sjgames.com/sjgames/inwo/rules/b/Rules_Update.html</t>
        </is>
      </c>
      <c r="F7" s="20" t="inlineStr">
        <is>
          <t>confirmed (rules v1.2: Resistance to Control (p.9); Aiding or Opposing Attacks (p.8); Resolving the Attack (p.9); Meta-Rules (p.17))</t>
        </is>
      </c>
    </row>
    <row r="8">
      <c r="A8" s="20" t="inlineStr">
        <is>
          <t>R007</t>
        </is>
      </c>
      <c r="B8" s="20" t="inlineStr">
        <is>
          <t>Devastation</t>
        </is>
      </c>
      <c r="C8" s="20" t="inlineStr">
        <is>
          <t>A Devastated Place has its Power halved, rounded down, for attack-to-destroy calculations; Relief requires three times printed Power.</t>
        </is>
      </c>
      <c r="D8" s="20" t="inlineStr">
        <is>
          <t>Required</t>
        </is>
      </c>
      <c r="E8" s="20" t="inlineStr">
        <is>
          <t>https://www.sjgames.com/sjgames/inwo/rules/b/Rules_Update.html</t>
        </is>
      </c>
    </row>
    <row r="9">
      <c r="A9" s="20" t="inlineStr">
        <is>
          <t>R008</t>
        </is>
      </c>
      <c r="B9" s="20" t="inlineStr">
        <is>
          <t>Dice</t>
        </is>
      </c>
      <c r="C9" s="20" t="inlineStr">
        <is>
          <t>Modified die rolls are clamped to the closest legal number.</t>
        </is>
      </c>
      <c r="D9" s="20" t="inlineStr">
        <is>
          <t>Required</t>
        </is>
      </c>
      <c r="E9" s="20" t="inlineStr">
        <is>
          <t>https://www.sjgames.com/sjgames/inwo/rules/b/Rules_Update.html</t>
        </is>
      </c>
    </row>
    <row r="10">
      <c r="A10" s="20" t="inlineStr">
        <is>
          <t>R009</t>
        </is>
      </c>
      <c r="B10" s="20" t="inlineStr">
        <is>
          <t>Cancellation and illegal actions</t>
        </is>
      </c>
      <c r="C10" s="20" t="inlineStr">
        <is>
          <t>Window: a Plot, special ability, or action can be cancelled after it is announced and before its dice are rolled or its effect resolved; once the effect is irreversible (e.g. cards have been seen) it can no longer be cancelled. A cancelled item has no effect and is treated as never having happened, except that the cards and tokens spent on it stay spent/discarded; a 'once per turn/game' item that was cancelled may be tried again if its cost is paid again, and a duplicate Plot may replace a cancelled one. Its effects are reversed (e.g. a cancelled Disaster returns the target's lost token). Specific cases: (1) a token powering a Plot/ability is cancelled or made illegal -&gt; the Plot/ability fails and all costs are lost; exception: if several tokens jointly power it and one is lost, another may be substituted immediately. (2) The Plot/ability itself is cancelled or made illegal -&gt; its costs are lost. (3) A Plot that becomes illegal before resolving returns to its owner's hand, exposed. (4) The attacking Group's action is cancelled or made illegal -&gt; no attack; attacker's token is spent; Plots helping the attacker are discarded; every aiding/opposing Group gets its token back; Plots used for aiding/opposing Groups return to owners' hands exposed; 'agents' cards return to owners' hands. (5) An aiding/opposing Group's action is cancelled -&gt; the attack continues; Plots that helped that Group are discarded. An alignment change that merely removes a bonus does not stop the attack. 'Cancel' is distinct from removing a token before it is used. Trading tokens for Plot draws cannot be cancelled. Calling off (attacker's choice, not cancel): allowed until the attacker plays a Plot or agents card or removes a token; if called off, rivals get back the cards/tokens they committed and a hand-target returns to hand; after commitment everyone's committed cards/tokens stay committed unless the attacker allows withdrawal. An attack launched by a Plot is committed immediately. Automatic Failure effects are applied after the roll: attack fails and all committed cards/tokens are lost.</t>
        </is>
      </c>
      <c r="D10" s="20" t="inlineStr">
        <is>
          <t>Required</t>
        </is>
      </c>
      <c r="E10" s="20" t="inlineStr">
        <is>
          <t>https://www.sjgames.com/inwo/rules/inwo-rules-12.pdf</t>
        </is>
      </c>
      <c r="F10" s="20" t="inlineStr">
        <is>
          <t>rewritten (rules v1.2: Cancellations, Illegal Actions, &amp; Other Surprises (p.15); Timing (p.13); Calling Off an Attack (p.7); Glossary: Cancel, Automatic Failure)</t>
        </is>
      </c>
    </row>
    <row r="11">
      <c r="A11" s="20" t="inlineStr">
        <is>
          <t>R010</t>
        </is>
      </c>
      <c r="B11" s="20" t="inlineStr">
        <is>
          <t>Timing and responses</t>
        </is>
      </c>
      <c r="C11" s="20" t="inlineStr">
        <is>
          <t>Effects resolve in the order played; each later card modifies earlier ones (last-in wins; if B nullifies A and C then nullifies B, A is effective again). Any player may respond to any announced play, in any order, with no priority system and no card type that 'trumps' another; the acting player must give others a chance to react before rolling or resolving (no speed-play). An attack's strength can go back and forth through any number of aids, oppositions, Plots and abilities from any players (except when Privileged); it is fixed only when no player is able or willing to add more, then the attacker rolls. A play must be legal when announced; it cannot rely on its own effect to become legal. Simultaneity: only matters when plays do the same or mutually exclusive thing; the first played works; if truly simultaneous, each rolls 2d6 and the higher roll wins (die-roll modifying Plots/abilities may be used). A threat is not a play: once an Instant Attack is actually played, it is too late to boost the target's Power for it; before that, pre-emptive boosts are allowed. When someone looks at or steals your cards you may not play, discard, give, or return the targeted cards to protect them; you may only counter the effect that gives access. Forgotten bonuses are lost once dice are rolled; a rival may insist on a deliberately omitted free bonus but not one that costs something. NWO combinations are evaluated one at a time in play order.</t>
        </is>
      </c>
      <c r="D11" s="20" t="inlineStr">
        <is>
          <t>Required</t>
        </is>
      </c>
      <c r="E11" s="20" t="inlineStr">
        <is>
          <t>https://www.sjgames.com/inwo/rules/inwo-rules-12.pdf</t>
        </is>
      </c>
      <c r="F11" s="20" t="inlineStr">
        <is>
          <t>rewritten (rules v1.2: Timing (p.13); Speed Play (p.13); Throwing Away Cards (p.13); Resolving the Attack (p.9); Whoops! (p.10); Meta-Rules (p.17))</t>
        </is>
      </c>
    </row>
    <row r="12">
      <c r="A12" s="20" t="inlineStr">
        <is>
          <t>R011</t>
        </is>
      </c>
      <c r="B12" s="20" t="inlineStr">
        <is>
          <t>Card precedence</t>
        </is>
      </c>
      <c r="C12" s="20" t="inlineStr">
        <is>
          <t>Specific card effects override general rules when they conflict.</t>
        </is>
      </c>
      <c r="D12" s="20" t="inlineStr">
        <is>
          <t>Required</t>
        </is>
      </c>
      <c r="E12" s="20" t="inlineStr">
        <is>
          <t>https://www.sjgames.com/inwo/rules/inwo-rules-12.pdf</t>
        </is>
      </c>
    </row>
    <row r="13">
      <c r="A13" s="20" t="inlineStr">
        <is>
          <t>R012</t>
        </is>
      </c>
      <c r="B13" s="20" t="inlineStr">
        <is>
          <t>Discards</t>
        </is>
      </c>
      <c r="C13" s="20" t="inlineStr">
        <is>
          <t>Discards are face up.</t>
        </is>
      </c>
      <c r="D13" s="20" t="inlineStr">
        <is>
          <t>Required</t>
        </is>
      </c>
      <c r="E13" s="20" t="inlineStr">
        <is>
          <t>https://www.sjgames.com/sjgames/inwo/rules/b/Rules_Update.html</t>
        </is>
      </c>
    </row>
    <row r="14">
      <c r="A14" s="20" t="inlineStr">
        <is>
          <t>R013</t>
        </is>
      </c>
      <c r="B14" s="20" t="inlineStr">
        <is>
          <t>Power structure</t>
        </is>
      </c>
      <c r="C14" s="20" t="inlineStr">
        <is>
          <t>Groups cannot simply be dropped from a Power Structure; restructuring must follow legal movement/link rules.</t>
        </is>
      </c>
      <c r="D14" s="20" t="inlineStr">
        <is>
          <t>Required</t>
        </is>
      </c>
      <c r="E14" s="20" t="inlineStr">
        <is>
          <t>https://www.sjgames.com/sjgames/inwo/rules/b/Rules_Update.html</t>
        </is>
      </c>
    </row>
    <row r="15">
      <c r="A15" s="20" t="inlineStr">
        <is>
          <t>R014</t>
        </is>
      </c>
      <c r="B15" s="20" t="inlineStr">
        <is>
          <t>Secret Groups</t>
        </is>
      </c>
      <c r="C15" s="20" t="inlineStr">
        <is>
          <t>A Group with the Secret attribute: non-Secret Groups may not attack it, aid or oppose attacks on it, aid attacks it makes, or use special abilities on it. Special abilities that grant attack bonuses, penalties or immunities are ignored in any attack by or against a Secret Group. Exceptions: Illuminati and other Secret Groups interact with it normally; Resources affect it normally unless the Resource is linked to a non-Secret Group; cards whose text explicitly addresses Secret Groups work as written; the Secret Group's own master and puppets may defend it and use abilities on it, and may aid its attacks if otherwise eligible (alignment or Global Power); Plots affect it normally even when powered by a non-Secret Group's token. Exposure/revealing of a Secret Group: not specified in rules v1.2 (Secret is a static attribute; the card is face-up in play).</t>
        </is>
      </c>
      <c r="D15" s="20" t="inlineStr">
        <is>
          <t>Required</t>
        </is>
      </c>
      <c r="E15" s="20" t="inlineStr">
        <is>
          <t>https://www.sjgames.com/inwo/rules/inwo-rules-12.pdf</t>
        </is>
      </c>
      <c r="F15" s="20" t="inlineStr">
        <is>
          <t>rewritten (rules v1.2: Secret Groups (p.11))</t>
        </is>
      </c>
    </row>
    <row r="16">
      <c r="A16" s="20" t="inlineStr">
        <is>
          <t>R015</t>
        </is>
      </c>
      <c r="B16" s="20" t="inlineStr">
        <is>
          <t>NWO</t>
        </is>
      </c>
      <c r="C16" s="20" t="inlineStr">
        <is>
          <t>NWO cards take effect in the order played; replacement and color rules must be resolved deterministically.</t>
        </is>
      </c>
      <c r="D16" s="20" t="inlineStr">
        <is>
          <t>Required</t>
        </is>
      </c>
      <c r="E16" s="20" t="inlineStr">
        <is>
          <t>https://www.sjgames.com/sjgames/inwo/rules/b/Rules_Update.html</t>
        </is>
      </c>
    </row>
    <row r="17">
      <c r="A17" s="20" t="inlineStr">
        <is>
          <t>R016</t>
        </is>
      </c>
      <c r="B17" s="20" t="inlineStr">
        <is>
          <t>Victory and Goals</t>
        </is>
      </c>
      <c r="C17" s="20" t="inlineStr">
        <is>
          <t>Victory is checked only at the end-of-turn declaration step (after the knock), on any player's turn; no win is possible in the first round (earliest check: end of the first player's second turn). Eliminating all rivals is also a win. Three ways to meet a Goal: (1) Basic Goal: control N Groups including the Illuminati, N = 12 for 2-3 players, 11 for 4 players, 10 for 5+ players (may be changed by agreement before the game; never below 12 in two-player games). (2) The Illuminati's Special Goal (some modify the Basic Goal, others are standalone). (3) A Goal card (a Plot type; some modify the Basic Goal, others standalone). Hand limit: at most 1 Goal card in hand unless a card allows more; an excess must be discarded or returned to the deck immediately; if a player's Plots are ever exposed while holding too many Goals, or on winning he fails to show only one, he is out of the game. The winner must reveal all Plots. Declaring with a Goal card: show it; during the attempt it cannot be stolen, cancelled or affected; if the attempt fails it returns to hand exposed. Before declaration it is an ordinary Plot (can be seen, stolen, exposed, discarded; exposed Goals still work). (Errata: an 'Alternate Goals' card may be held or played in front of you; played, it does not count against the hand limit.) Counting double: a Group may count at most double, and at most 3 Groups per player may count double. Paralyzed Groups and Groups under a Devastated Place do not count. Permanent changes always count; temporary alignment changes (and Power changes they cause) count only for that turn's declaration; temporary or purpose-limited Power bonuses (e.g. +10 Plots) never count. Declaring players are checked against thwarting Plots/abilities; if all others concede he wins. Simultaneous winners share, except factions of the same Illuminati cannot share (neither wins unless a third declarer also succeeds, who then wins alone), with the exception of Shangri-La's Special Goal. How Goal cards combine with the Basic Goal beyond 'some modify it': not specified in rules v1.2 (follow card text).</t>
        </is>
      </c>
      <c r="D17" s="20" t="inlineStr">
        <is>
          <t>Required</t>
        </is>
      </c>
      <c r="E17" s="20" t="inlineStr">
        <is>
          <t>https://www.sjgames.com/sjgames/inwo/rules/b/Rules_Update.html</t>
        </is>
      </c>
      <c r="F17" s="20" t="inlineStr">
        <is>
          <t>rewritten (rules v1.2: Winning the Game (p.16); Counting Groups Double (p.16); Changing Groups to Meet Goals (p.16); Two-Player Rules (p.17); Other Card Errata (p.20))</t>
        </is>
      </c>
    </row>
    <row r="18">
      <c r="A18" s="20" t="inlineStr">
        <is>
          <t>R017</t>
        </is>
      </c>
      <c r="B18" s="20" t="inlineStr">
        <is>
          <t>Victory</t>
        </is>
      </c>
      <c r="C18" s="20" t="inlineStr">
        <is>
          <t>No player may win during the first round. Goal cards cannot be cancelled once a victory claim is being resolved.</t>
        </is>
      </c>
      <c r="D18" s="20" t="inlineStr">
        <is>
          <t>Required</t>
        </is>
      </c>
      <c r="E18" s="20" t="inlineStr">
        <is>
          <t>https://www.sjgames.com/sjgames/inwo/rules/b/Rules_Update.html</t>
        </is>
      </c>
    </row>
    <row r="19">
      <c r="A19" s="20" t="inlineStr">
        <is>
          <t>R018</t>
        </is>
      </c>
      <c r="B19" s="20" t="inlineStr">
        <is>
          <t>Elimination</t>
        </is>
      </c>
      <c r="C19" s="20" t="inlineStr">
        <is>
          <t>Player elimination cannot occur until after the third turn.</t>
        </is>
      </c>
      <c r="D19" s="20" t="inlineStr">
        <is>
          <t>Required</t>
        </is>
      </c>
      <c r="E19" s="20" t="inlineStr">
        <is>
          <t>https://www.sjgames.com/sjgames/inwo/rules/b/Rules_Update.html</t>
        </is>
      </c>
    </row>
    <row r="20">
      <c r="A20" s="20" t="inlineStr">
        <is>
          <t>R019</t>
        </is>
      </c>
      <c r="B20" s="20" t="inlineStr">
        <is>
          <t>Reload effects</t>
        </is>
      </c>
      <c r="C20" s="20" t="inlineStr">
        <is>
          <t>Alignment/attribute reload cards require an Illuminati action and normally reload up to 5 Power worth of groups or one group of any Power; captured-this-turn groups cannot be reloaded.</t>
        </is>
      </c>
      <c r="D20" s="20" t="inlineStr">
        <is>
          <t>Required</t>
        </is>
      </c>
      <c r="E20" s="20" t="inlineStr">
        <is>
          <t>https://www.sjgames.com/sjgames/inwo/rules/b/Rules_Update.html</t>
        </is>
      </c>
    </row>
    <row r="21">
      <c r="A21" s="20" t="inlineStr">
        <is>
          <t>R020</t>
        </is>
      </c>
      <c r="B21" s="20" t="inlineStr">
        <is>
          <t>Permanent/temporary</t>
        </is>
      </c>
      <c r="C21" s="20" t="inlineStr">
        <is>
          <t>Store permanent changes separately from temporary modifiers; temporary effects expire at their specified event/window.</t>
        </is>
      </c>
      <c r="D21" s="20" t="inlineStr">
        <is>
          <t>Required</t>
        </is>
      </c>
      <c r="E21" s="20" t="inlineStr">
        <is>
          <t>https://www.sjgames.com/inwo/rules/inwo-rules-12.pdf</t>
        </is>
      </c>
    </row>
    <row r="22">
      <c r="A22" s="20" t="inlineStr">
        <is>
          <t>R021</t>
        </is>
      </c>
      <c r="B22" s="20" t="inlineStr">
        <is>
          <t>Resources</t>
        </is>
      </c>
      <c r="C22" s="20" t="inlineStr">
        <is>
          <t>Resources use their own takeover/control/link/uniqueness rules and must not be treated as ordinary Groups.</t>
        </is>
      </c>
      <c r="D22" s="20" t="inlineStr">
        <is>
          <t>Required</t>
        </is>
      </c>
      <c r="E22" s="20" t="inlineStr">
        <is>
          <t>https://www.sjgames.com/inwo/rules/inwo-rules-12.pdf</t>
        </is>
      </c>
    </row>
    <row r="23">
      <c r="A23" s="20" t="inlineStr">
        <is>
          <t>R022</t>
        </is>
      </c>
      <c r="B23" s="20" t="inlineStr">
        <is>
          <t>Deals</t>
        </is>
      </c>
      <c r="C23" s="20" t="inlineStr">
        <is>
          <t>Player negotiation and deals are allowed; enforce only commitments the rules make binding, while allowing legal betrayal where rules permit.</t>
        </is>
      </c>
      <c r="D23" s="20" t="inlineStr">
        <is>
          <t>Required</t>
        </is>
      </c>
      <c r="E23" s="20" t="inlineStr">
        <is>
          <t>https://www.sjgames.com/inwo/rules/inwo-rules-12.pdf</t>
        </is>
      </c>
    </row>
    <row r="24">
      <c r="A24" s="20" t="inlineStr">
        <is>
          <t>R023</t>
        </is>
      </c>
      <c r="B24" s="20" t="inlineStr">
        <is>
          <t>Two-player games</t>
        </is>
      </c>
      <c r="C24" s="20" t="inlineStr">
        <is>
          <t>Official for two-player tournament play and recommended for all two-player games: (1) Basic Goal may never be set below 12 Groups. (2) Neither player may attack the other until both have completed one full turn. (3) A player who makes an automatic takeover in step 3 of his turn receives one fewer Illuminati Action token in step 4 of that same turn. No other two-player changes are specified in rules v1.2.</t>
        </is>
      </c>
      <c r="D24" s="20" t="inlineStr">
        <is>
          <t>Required</t>
        </is>
      </c>
      <c r="E24" s="20" t="inlineStr">
        <is>
          <t>https://www.sjgames.com/inwo/rules/inwo-rules-12.pdf</t>
        </is>
      </c>
      <c r="F24" s="20" t="inlineStr">
        <is>
          <t>rewritten (rules v1.2: Two-Player Rules (p.17); Rules Update: Changes Since WDHv1.1 (p.19))</t>
        </is>
      </c>
    </row>
    <row r="25">
      <c r="A25" s="20" t="inlineStr">
        <is>
          <t>R024</t>
        </is>
      </c>
      <c r="B25" s="20" t="inlineStr">
        <is>
          <t>Unlimited updates</t>
        </is>
      </c>
      <c r="C25" s="20" t="inlineStr">
        <is>
          <t>Limited Edition cards must use the later official Unlimited Edition corrections/clarifications where SJ Games explicitly says so.</t>
        </is>
      </c>
      <c r="D25" s="20" t="inlineStr">
        <is>
          <t>Required</t>
        </is>
      </c>
      <c r="E25" s="20" t="inlineStr">
        <is>
          <t>https://www.sjgames.com/sjgames/inwo/rules/b/Rules_Update.html</t>
        </is>
      </c>
    </row>
    <row r="26">
      <c r="A26" s="20" t="inlineStr">
        <is>
          <t>R025</t>
        </is>
      </c>
      <c r="B26" s="20" t="inlineStr">
        <is>
          <t>Setup</t>
        </is>
      </c>
      <c r="C26" s="20" t="inlineStr">
        <is>
          <t>Each player has a 45-card deck including the starting Illuminati, split into a Plot deck (Plots and extra Illuminati) and a Group deck (Groups and Resources). Illuminati are placed face down then revealed together. Shuffle Plot deck, draw 3 Plots. Each player secretly picks a lead Group (not a Resource) from his deck; reveal together; players who picked the same Group set them aside and re-pick non-duplicates until everyone has one (or runs out). Lead goes on an Illuminati arrow. Shuffle Group deck, draw 6 (or all if fewer); set-aside duplicates are then shuffled back into their owners' decks. Undrawn cards may not be looked at or traded. Highest 2d6 roll goes first.</t>
        </is>
      </c>
      <c r="D26" s="20" t="inlineStr">
        <is>
          <t>Required</t>
        </is>
      </c>
      <c r="E26" s="20" t="inlineStr">
        <is>
          <t>https://www.sjgames.com/inwo/rules/inwo-rules-12.pdf</t>
        </is>
      </c>
      <c r="F26" s="20" t="inlineStr">
        <is>
          <t>new (rules v1.2: Beginning the Game (p.2))</t>
        </is>
      </c>
    </row>
    <row r="27">
      <c r="A27" s="20" t="inlineStr">
        <is>
          <t>R026</t>
        </is>
      </c>
      <c r="B27" s="20" t="inlineStr">
        <is>
          <t>Action tokens</t>
        </is>
      </c>
      <c r="C27" s="20" t="inlineStr">
        <is>
          <t>A Group spends a token to attack, aid, oppose, or when a card says (use an ability, power a Plot). A Group holding several tokens may spend only one per attack, except when it is the one defending. A Group whose Power is reduced to 0 loses its tokens and cannot receive any until its Power is above 0; Power never goes below 0. A player may voluntarily remove tokens from his own cards. Illuminati tokens have extra uses: Plot draw at 1:1, once-per-turn Resource play, once-per-turn Group draw, removing Zaps, many card costs. Resource ('Action') tokens follow Group token rules but cannot be traded for Plots.</t>
        </is>
      </c>
      <c r="D27" s="20" t="inlineStr">
        <is>
          <t>Required</t>
        </is>
      </c>
      <c r="E27" s="20" t="inlineStr">
        <is>
          <t>https://www.sjgames.com/inwo/rules/inwo-rules-12.pdf</t>
        </is>
      </c>
      <c r="F27" s="20" t="inlineStr">
        <is>
          <t>new (rules v1.2: Action Tokens (p.3); Power (p.6))</t>
        </is>
      </c>
    </row>
    <row r="28">
      <c r="A28" s="20" t="inlineStr">
        <is>
          <t>R027</t>
        </is>
      </c>
      <c r="B28" s="20" t="inlineStr">
        <is>
          <t>Plot hand limit and buying Plots</t>
        </is>
      </c>
      <c r="C28" s="20" t="inlineStr">
        <is>
          <t>Outside his own turn a player may hold at most 5 Plot cards (hidden plus exposed; played Plots on the table and card-granted exemptions do not count). Any excess must be removed at once by playing, giving/trading, discarding, or returning to the deck. No limit during one's own turn and none on Group/Resource cards. Buying: at any time exchange 1 Illuminati token or 2 other-Group tokens for one Plot draw from the top of the deck (not an action, uncancellable). Returning Plots: a Plot from hand may be put anywhere in its owner's Plot deck at any time except mid multi-card draw or right after someone uses an effect to see/steal his hand or deck; Group/Resource cards can never be returned. Players must reveal the count of their hidden Plots on request; they may voluntarily expose Plots or show them privately. Exposed Plots stay face up until played, returned, stolen, discarded, or re-hidden by a card. No penalty for an empty deck; drawing is always optional.</t>
        </is>
      </c>
      <c r="D28" s="20" t="inlineStr">
        <is>
          <t>Required</t>
        </is>
      </c>
      <c r="E28" s="20" t="inlineStr">
        <is>
          <t>https://www.sjgames.com/inwo/rules/inwo-rules-12.pdf</t>
        </is>
      </c>
      <c r="F28" s="20" t="inlineStr">
        <is>
          <t>new (rules v1.2: Limits on Plot Cards (p.5); Returning Plots to Your Deck (p.5); How to Get Plot Cards (p.4); Hidden and Exposed Plots (p.5))</t>
        </is>
      </c>
    </row>
    <row r="29">
      <c r="A29" s="20" t="inlineStr">
        <is>
          <t>R028</t>
        </is>
      </c>
      <c r="B29" s="20" t="inlineStr">
        <is>
          <t>Plot card lifecycle and families</t>
        </is>
      </c>
      <c r="C29" s="20" t="inlineStr">
        <is>
          <t>A played Plot stays on the table while its effect lasts, then is discarded (attack Plots after the attack resolves); linked Plots and NWOs stay until removed. Costs are paid by the player who plays it. A Plot may not be played just to dodge a look/steal, but may be played to counter it. Families: +10 Plots add +10 Power/Resistance either to one action (lasts until resolved) or as defense for the Group (lasts until end of turn, defense only); never count for Goals; a given +10 Plot counts at most once per action/defense even if multiple tokens are spent. Attribute Freeze: stops all Groups with an attribute from acting (except self-defense) for the rest of the turn, or cancels one action by such a Group. Paralyze: Group cannot spend tokens or use abilities/linked Resources, does not count for Goals, cannot gain new puppets (existing puppets unaffected). Power Increase: linked to a qualifying Group to raise its Power to the stated value; no effect if already at or above. Zap: affects a whole Power Structure until removed; at any moment, any player can pay one Illuminati token to clear every Zap from a single player.</t>
        </is>
      </c>
      <c r="D29" s="20" t="inlineStr">
        <is>
          <t>Required</t>
        </is>
      </c>
      <c r="E29" s="20" t="inlineStr">
        <is>
          <t>https://www.sjgames.com/inwo/rules/inwo-rules-12.pdf</t>
        </is>
      </c>
      <c r="F29" s="20" t="inlineStr">
        <is>
          <t>new (rules v1.2: Plot Cards (p.4); Types of Plots (p.4-5); Other Card Errata (p.20))</t>
        </is>
      </c>
    </row>
    <row r="30">
      <c r="A30" s="20" t="inlineStr">
        <is>
          <t>R029</t>
        </is>
      </c>
      <c r="B30" s="20" t="inlineStr">
        <is>
          <t>Aiding and opposing</t>
        </is>
      </c>
      <c r="C30" s="20" t="inlineStr">
        <is>
          <t>Any Group other than the attacker may spend 1 token to aid (add Power to attack) or oppose (add Power to defense); no open arrow needed. Attack to Control: an aider must share an alignment with the target; oppose requires an identical alignment or being the target's master or puppet, or being the target. Attack to Destroy: an aider must have an alignment opposed to the target's; oppose as for Control. A Group without the qualifying alignment may use its Global Power (second number) instead of Power. Aiders/opposers never get alignment modifiers. Global Power is unaffected by Power modifiers unless stated, and is capped at current Power. Any player (not only attacker/defender) may interfere unless Privileged; a player may use his Groups for either side. 'Any attempt' bonuses apply only to attacks by your own Groups, not to attacks you merely aid; 'direct' bonuses apply only when that Group itself leads; the two don't stack for the same circumstance. A 'defense' bonus is usable only for your own Power Structure.</t>
        </is>
      </c>
      <c r="D30" s="20" t="inlineStr">
        <is>
          <t>Required</t>
        </is>
      </c>
      <c r="E30" s="20" t="inlineStr">
        <is>
          <t>https://www.sjgames.com/inwo/rules/inwo-rules-12.pdf</t>
        </is>
      </c>
      <c r="F30" s="20" t="inlineStr">
        <is>
          <t>new (rules v1.2: Aiding or Opposing Attacks (p.8); Global Power (p.8-9); Using Plots and Abilities in Attacks (p.9); Glossary)</t>
        </is>
      </c>
    </row>
    <row r="31">
      <c r="A31" s="20" t="inlineStr">
        <is>
          <t>R030</t>
        </is>
      </c>
      <c r="B31" s="20" t="inlineStr">
        <is>
          <t>No duplicates in one attack</t>
        </is>
      </c>
      <c r="C31" s="20" t="inlineStr">
        <is>
          <t>No player may use two copies of the same Plot card in one attack or in defending against one attack, even for different Groups. A cancelled Plot never happened, so a duplicate may replace it. Only one 'agents' card may be used per attack.</t>
        </is>
      </c>
      <c r="D31" s="20" t="inlineStr">
        <is>
          <t>Required</t>
        </is>
      </c>
      <c r="E31" s="20" t="inlineStr">
        <is>
          <t>https://www.sjgames.com/inwo/rules/inwo-rules-12.pdf</t>
        </is>
      </c>
      <c r="F31" s="20" t="inlineStr">
        <is>
          <t>new (rules v1.2: No Duplicates in the Same Attack! (p.8); Hidden Agents (p.10))</t>
        </is>
      </c>
    </row>
    <row r="32">
      <c r="A32" s="20" t="inlineStr">
        <is>
          <t>R031</t>
        </is>
      </c>
      <c r="B32" s="20" t="inlineStr">
        <is>
          <t>Hidden agents</t>
        </is>
      </c>
      <c r="C32" s="20" t="inlineStr">
        <is>
          <t>A card in hand duplicating a Group another player controls is an 'agents' card. It may be played whenever that Group is attacked (control or destroy), by anyone except the real Group's owner: +10 to the attack if aiding, -6 to the attack if opposing. Discarded after use either way. Also usable to oppose an Attack to Control on that Group played from a rival's hand (-6); not usable against an automatic takeover (not an attack). Playing it commits the attack. When a duplicate card is used to capture a Group, the capturer puts his own copy in his Power Structure and the previous controller keeps his copy.</t>
        </is>
      </c>
      <c r="D32" s="20" t="inlineStr">
        <is>
          <t>Required</t>
        </is>
      </c>
      <c r="E32" s="20" t="inlineStr">
        <is>
          <t>https://www.sjgames.com/inwo/rules/inwo-rules-12.pdf</t>
        </is>
      </c>
      <c r="F32" s="20" t="inlineStr">
        <is>
          <t>new (rules v1.2: Hidden Agents (p.10-11); Meta-Rules (p.17))</t>
        </is>
      </c>
    </row>
    <row r="33">
      <c r="A33" s="20" t="inlineStr">
        <is>
          <t>R032</t>
        </is>
      </c>
      <c r="B33" s="20" t="inlineStr">
        <is>
          <t>Privileged Attacks</t>
        </is>
      </c>
      <c r="C33" s="20" t="inlineStr">
        <is>
          <t>Declared via a Plot or ability; the attacker must announce 'Privilege' when first declaring the attack. Only attacker and defender (the target's controller) may participate; an attack on a Group from the attacker's own hand therefore allows no one else. Third parties may not use actions, Plots or abilities for either side (not even to cancel), and may not give/trade cards to either participant until it ends. Any player may use a Plot/ability that negates Privilege, turning it into a normal attack; negated Privilege cannot be restored for that attack. After the attack is over, others may still use die-roll-affecting cards. NWO cards cannot be played during a Privileged attack.</t>
        </is>
      </c>
      <c r="D33" s="20" t="inlineStr">
        <is>
          <t>Required</t>
        </is>
      </c>
      <c r="E33" s="20" t="inlineStr">
        <is>
          <t>https://www.sjgames.com/inwo/rules/inwo-rules-12.pdf</t>
        </is>
      </c>
      <c r="F33" s="20" t="inlineStr">
        <is>
          <t>new (rules v1.2: Privileged Attacks (p.11); New World Order Cards (p.13); Glossary: Interference)</t>
        </is>
      </c>
    </row>
    <row r="34">
      <c r="A34" s="20" t="inlineStr">
        <is>
          <t>R033</t>
        </is>
      </c>
      <c r="B34" s="20" t="inlineStr">
        <is>
          <t>Immunity</t>
        </is>
      </c>
      <c r="C34" s="20" t="inlineStr">
        <is>
          <t>If A is immune to B: B cannot attack A, aid attacks on A, or affect A with special abilities. Whole-Power-Structure immunity also covers Resources, hand, decks, discards. Immunity is one-way: B may still defend against or interfere in attacks made by A. Immunity never blocks Plot cards, even if powered by B's token. A player is never immune to cards he controls himself. A card naming another card specifically overrides that card's defenses/immunities; otherwise a card saying something cannot happen to it overrides cards that would do it.</t>
        </is>
      </c>
      <c r="D34" s="20" t="inlineStr">
        <is>
          <t>Required</t>
        </is>
      </c>
      <c r="E34" s="20" t="inlineStr">
        <is>
          <t>https://www.sjgames.com/inwo/rules/inwo-rules-12.pdf</t>
        </is>
      </c>
      <c r="F34" s="20" t="inlineStr">
        <is>
          <t>new (rules v1.2: Immunity (p.11); Meta-Rules (p.17))</t>
        </is>
      </c>
    </row>
    <row r="35">
      <c r="A35" s="20" t="inlineStr">
        <is>
          <t>R034</t>
        </is>
      </c>
      <c r="B35" s="20" t="inlineStr">
        <is>
          <t>Instant Attacks</t>
        </is>
      </c>
      <c r="C35" s="20" t="inlineStr">
        <is>
          <t>An Attack to Destroy launched by a card (Assassinations, most Disasters). Playable at any time unless the card restricts it, and cannot be called off. Strength = attack Power (from the card, plus any card-permitted action) - target's Power at the moment of declaration - position bonus (position bonus omitted if the target's owner launched it). All other attack/defense modifiers, including 'any attempt' bonuses, are ignored unless they mention Instant Attacks, Assassinations or Disasters; a card that forbids attacks entirely also forbids these. Groups may not spend tokens to make, aid, or oppose unless a card allows; if allowed, cards boosting that action's Power (e.g. +10 Plots) may be added. Instant Attacks cannot be combined unless a card allows. The target cannot spend any tokens, even for self-defense, until resolved. Normal roll resolution (&lt;= strength, 11-12 fails). May be cancelled, in which case it never happened. NWOs cannot be played during one.</t>
        </is>
      </c>
      <c r="D35" s="20" t="inlineStr">
        <is>
          <t>Required</t>
        </is>
      </c>
      <c r="E35" s="20" t="inlineStr">
        <is>
          <t>https://www.sjgames.com/inwo/rules/inwo-rules-12.pdf</t>
        </is>
      </c>
      <c r="F35" s="20" t="inlineStr">
        <is>
          <t>new (rules v1.2: Instant Attacks (p.11-12); Glossary)</t>
        </is>
      </c>
    </row>
    <row r="36">
      <c r="A36" s="20" t="inlineStr">
        <is>
          <t>R035</t>
        </is>
      </c>
      <c r="B36" s="20" t="inlineStr">
        <is>
          <t>Assassinations</t>
        </is>
      </c>
      <c r="C36" s="20" t="inlineStr">
        <is>
          <t>An Instant Attack to Destroy against a Personality. A Personality destroyed this way is 'killed' and can return to play only via cards that explicitly restore killed/assassinated Personalities. A Personality destroyed by a normal Attack to Destroy is not killed and can return like any destroyed Group. Cards referring to killed/Assassinated apply only to Assassination deaths unless they say otherwise.</t>
        </is>
      </c>
      <c r="D36" s="20" t="inlineStr">
        <is>
          <t>Required</t>
        </is>
      </c>
      <c r="E36" s="20" t="inlineStr">
        <is>
          <t>https://www.sjgames.com/inwo/rules/inwo-rules-12.pdf</t>
        </is>
      </c>
      <c r="F36" s="20" t="inlineStr">
        <is>
          <t>new (rules v1.2: Assassinations (p.12); Glossary: Assassinated or Killed)</t>
        </is>
      </c>
    </row>
    <row r="37">
      <c r="A37" s="20" t="inlineStr">
        <is>
          <t>R036</t>
        </is>
      </c>
      <c r="B37" s="20" t="inlineStr">
        <is>
          <t>Disasters</t>
        </is>
      </c>
      <c r="C37" s="20" t="inlineStr">
        <is>
          <t>A Disaster is an attack (usually Instant) to destroy a Place. As soon as the card is played, the target loses one Action token if it has any (restored if the Disaster is cancelled). Disasters may Devastate; some destroy outright on a sufficiently good roll (per card text, e.g. errata: Oregon Crud Power 24 destroys if roll succeeds by 10+; Volcano Power 18 destroys if it succeeds by 2+).</t>
        </is>
      </c>
      <c r="D37" s="20" t="inlineStr">
        <is>
          <t>Required</t>
        </is>
      </c>
      <c r="E37" s="20" t="inlineStr">
        <is>
          <t>https://www.sjgames.com/inwo/rules/inwo-rules-12.pdf</t>
        </is>
      </c>
      <c r="F37" s="20" t="inlineStr">
        <is>
          <t>new (rules v1.2: Disasters (p.12); Cards Update (p.19))</t>
        </is>
      </c>
    </row>
    <row r="38">
      <c r="A38" s="20" t="inlineStr">
        <is>
          <t>R037</t>
        </is>
      </c>
      <c r="B38" s="20" t="inlineStr">
        <is>
          <t>Devastation and Relief</t>
        </is>
      </c>
      <c r="C38" s="20" t="inlineStr">
        <is>
          <t>Devastated Place: mark it; remove its tokens and those of all its descendants (puppets, their puppets, ...); none of them can gain tokens or count toward victory while it stays Devastated. Its Power is halved (round down) against Attacks to Destroy. Devastating an already-Devastated Place has no effect. Moving a Group out from under it frees that Group; moving a Group under it makes that Group lose tokens and stop counting. Relief: one or more players simultaneously spend actions whose combined Power totals at least 3x the Place's printed Power, at any time; this removes Devastation and restores tokens eligibility and victory counting for the whole subtree. Devastation persists if the Place returns to hand (cards remember).</t>
        </is>
      </c>
      <c r="D38" s="20" t="inlineStr">
        <is>
          <t>Required</t>
        </is>
      </c>
      <c r="E38" s="20" t="inlineStr">
        <is>
          <t>https://www.sjgames.com/inwo/rules/inwo-rules-12.pdf</t>
        </is>
      </c>
      <c r="F38" s="20" t="inlineStr">
        <is>
          <t>new (rules v1.2: Devastation and Relief (p.12); The Cards Remember (p.15))</t>
        </is>
      </c>
    </row>
    <row r="39">
      <c r="A39" s="20" t="inlineStr">
        <is>
          <t>R038</t>
        </is>
      </c>
      <c r="B39" s="20" t="inlineStr">
        <is>
          <t>Moving and transferring Groups</t>
        </is>
      </c>
      <c r="C39" s="20" t="inlineStr">
        <is>
          <t>During the Main Phase of his own turn a player may move any Group he controls to any open control arrow of any Group in his Power Structure (the rule text says 'any Group in play'); its whole subtree moves with it keeping relative positions. Cost: 1 token from the moved Group, its old master, its new master, or the player's Illuminati. Transfer: a Group may be given to another player if both agree, during the Main Phase of either player's turn, for 1 token from the Group, its old master, its new master, or either player's Illuminati. Linked cards move with it. Overlap resolution: overlapping descendants may be re-placed on other arrows under the same master; any that still overlap are lost and return with their puppets to the hand of the pre-move controller.</t>
        </is>
      </c>
      <c r="D39" s="20" t="inlineStr">
        <is>
          <t>Required</t>
        </is>
      </c>
      <c r="E39" s="20" t="inlineStr">
        <is>
          <t>https://www.sjgames.com/inwo/rules/inwo-rules-12.pdf</t>
        </is>
      </c>
      <c r="F39" s="20" t="inlineStr">
        <is>
          <t>new (rules v1.2: Moving Groups (p.12); Turn Sequence step 5 (p.2))</t>
        </is>
      </c>
    </row>
    <row r="40">
      <c r="A40" s="20" t="inlineStr">
        <is>
          <t>R039</t>
        </is>
      </c>
      <c r="B40" s="20" t="inlineStr">
        <is>
          <t>Dropping Groups</t>
        </is>
      </c>
      <c r="C40" s="20" t="inlineStr">
        <is>
          <t>A player may not voluntarily discard or drop a Group from his Power Structure; it stays until something removes it. (Dropping was removed in v1.1.)</t>
        </is>
      </c>
      <c r="D40" s="20" t="inlineStr">
        <is>
          <t>Required</t>
        </is>
      </c>
      <c r="E40" s="20" t="inlineStr">
        <is>
          <t>https://www.sjgames.com/inwo/rules/inwo-rules-12.pdf</t>
        </is>
      </c>
      <c r="F40" s="20" t="inlineStr">
        <is>
          <t>new (rules v1.2: Power Structures (p.4); Rules Update: Changes Since WDHv1.0 (p.19))</t>
        </is>
      </c>
    </row>
    <row r="41">
      <c r="A41" s="20" t="inlineStr">
        <is>
          <t>R040</t>
        </is>
      </c>
      <c r="B41" s="20" t="inlineStr">
        <is>
          <t>Gifts and trades</t>
        </is>
      </c>
      <c r="C41" s="20" t="inlineStr">
        <is>
          <t>Cards in hand (including exposed Plots) may be given or traded at any time, except immediately following an attempt to see or take cards from that hand, during a multi-card draw, or to a participant in a Privileged Attack. They go into the recipient's hand. Undrawn deck cards may never be given. In-play Resources may be given if not used earlier that turn (during the Main Phase of either involved player's turn per the turn sequence); they arrive linked to the recipient's Illuminati, who may re-link them in his own Main Phase. In-play Groups transfer via Moving Groups. Trades are simultaneous gift exchanges: binding only if completed immediately; promises of future consideration are not enforceable.</t>
        </is>
      </c>
      <c r="D41" s="20" t="inlineStr">
        <is>
          <t>Required</t>
        </is>
      </c>
      <c r="E41" s="20" t="inlineStr">
        <is>
          <t>https://www.sjgames.com/inwo/rules/inwo-rules-12.pdf</t>
        </is>
      </c>
      <c r="F41" s="20" t="inlineStr">
        <is>
          <t>new (rules v1.2: Gifts and Trades (p.12-13); Turn Sequence (p.2-3))</t>
        </is>
      </c>
    </row>
    <row r="42">
      <c r="A42" s="20" t="inlineStr">
        <is>
          <t>R041</t>
        </is>
      </c>
      <c r="B42" s="20" t="inlineStr">
        <is>
          <t>Resources</t>
        </is>
      </c>
      <c r="C42" s="20" t="inlineStr">
        <is>
          <t>Drawn from the Group deck. Brought into play by automatic takeover, by spending an Illuminati token once per turn in own Main Phase, or by cards. Placed beside the Power Structure (no arrows). Linked to the owner's Illuminati by default; may be linked to another controlled Group, and then provides its ability to that Group (and effects that target that Group can nullify it). Captured Group: its linked Resources go with it. Destroyed Group: its linked Resources are destroyed. Resources cannot normally be attacked. Types: Artifact, Gadget, Magic (any attack using a Magic Group/Plot/Resource is a Magic attack), Unique. Unique: once one copy is in play, no more copies may be played; if destroyed, no copy may ever be played unless a card returns it. A Unique hidden inside Warehouse 23 must be revealed when someone tries to play a duplicate, otherwise the rival gets it and the hidden copy is discarded when exposed. Non-Unique: any number in play, each independent. Costs of Resource abilities are paid by its owner; destroyed Resource abilities stop at once. Taking over Resources other than by capturing their linked Group: not specified in rules v1.2 beyond card text and gifts.</t>
        </is>
      </c>
      <c r="D42" s="20" t="inlineStr">
        <is>
          <t>Required</t>
        </is>
      </c>
      <c r="E42" s="20" t="inlineStr">
        <is>
          <t>https://www.sjgames.com/inwo/rules/inwo-rules-12.pdf</t>
        </is>
      </c>
      <c r="F42" s="20" t="inlineStr">
        <is>
          <t>new (rules v1.2: Resource Cards (p.7); Duplicate Resource Cards (p.14); Links (p.14))</t>
        </is>
      </c>
    </row>
    <row r="43">
      <c r="A43" s="20" t="inlineStr">
        <is>
          <t>R042</t>
        </is>
      </c>
      <c r="B43" s="20" t="inlineStr">
        <is>
          <t>Links</t>
        </is>
      </c>
      <c r="C43" s="20" t="inlineStr">
        <is>
          <t>Two in-play cards a player controls may be linked during his Main Phase (mark both). Plot links and Resources that say so are permanent (movable only by card effect). Other links are temporary and each may be moved once per turn in the owner's Main Phase; a linked card that provided a benefit this turn may not be re-linked or given away that turn. Illegal link (violates a rule or linked-card text): temporarily illegal -&gt; card stays but has no effect until legal; permanently illegal Plot link -&gt; Plot discarded; permanently illegal Resource link -&gt; Resource stays in play; if the link was permanent it stays inactive until legal again, otherwise owner may re-link it in his Main Phase. If a linked Group is discarded or returned to hand, the link becomes temporarily illegal and reactivates if the Group returns.</t>
        </is>
      </c>
      <c r="D43" s="20" t="inlineStr">
        <is>
          <t>Required</t>
        </is>
      </c>
      <c r="E43" s="20" t="inlineStr">
        <is>
          <t>https://www.sjgames.com/inwo/rules/inwo-rules-12.pdf</t>
        </is>
      </c>
      <c r="F43" s="20" t="inlineStr">
        <is>
          <t>new (rules v1.2: Links (p.14-15); The Cards Remember (p.15))</t>
        </is>
      </c>
    </row>
    <row r="44">
      <c r="A44" s="20" t="inlineStr">
        <is>
          <t>R043</t>
        </is>
      </c>
      <c r="B44" s="20" t="inlineStr">
        <is>
          <t>Duplicate Groups</t>
        </is>
      </c>
      <c r="C44" s="20" t="inlineStr">
        <is>
          <t>Only one copy of a Group may be in play unless a card allows multiples (then each copy is independent). A duplicate of a rival-controlled Group can only be used as an agents card. A duplicate of a destroyed Group cannot be played unless a card returns it. A duplicate of a Group that was discarded without ever being in play (e.g. failed hand takeover) may be played normally. Duplicate lead choices at setup are resolved by re-picking.</t>
        </is>
      </c>
      <c r="D44" s="20" t="inlineStr">
        <is>
          <t>Required</t>
        </is>
      </c>
      <c r="E44" s="20" t="inlineStr">
        <is>
          <t>https://www.sjgames.com/inwo/rules/inwo-rules-12.pdf</t>
        </is>
      </c>
      <c r="F44" s="20" t="inlineStr">
        <is>
          <t>new (rules v1.2: Duplicate Group Cards (p.14); Bringing Groups Into Play (p.5-6))</t>
        </is>
      </c>
    </row>
    <row r="45">
      <c r="A45" s="20" t="inlineStr">
        <is>
          <t>R044</t>
        </is>
      </c>
      <c r="B45" s="20" t="inlineStr">
        <is>
          <t>Duplicate Illuminati / factions</t>
        </is>
      </c>
      <c r="C45" s="20" t="inlineStr">
        <is>
          <t>Several players may play the same Illuminati as rival factions. +5 on any attack against a Group owned by another faction of your Illuminati. Eliminating another faction (taking or destroying its last Group) gives you all its Resources. Same-Illuminati factions cannot share a victory (except all Shangri-La players share if Shangri-La's Special Goal of 30 Peaceful Power is met). Illuminati cards in the Plot deck: if it matches a rival's Illuminati, play it any time by discarding your top undrawn Plot and top undrawn Group card; it sits with your Resources (not a Resource) as an agent giving +3 attack and defense vs that Illuminati's whole Power Structure (all factions of it). Max one agent per Illuminati type, and none for your own Illuminati.</t>
        </is>
      </c>
      <c r="D45" s="20" t="inlineStr">
        <is>
          <t>Required</t>
        </is>
      </c>
      <c r="E45" s="20" t="inlineStr">
        <is>
          <t>https://www.sjgames.com/inwo/rules/inwo-rules-12.pdf</t>
        </is>
      </c>
      <c r="F45" s="20" t="inlineStr">
        <is>
          <t>new (rules v1.2: Duplicate Illuminati Cards (p.14); Winning the Game (p.16))</t>
        </is>
      </c>
    </row>
    <row r="46">
      <c r="A46" s="20" t="inlineStr">
        <is>
          <t>R045</t>
        </is>
      </c>
      <c r="B46" s="20" t="inlineStr">
        <is>
          <t>New World Order cards</t>
        </is>
      </c>
      <c r="C46" s="20" t="inlineStr">
        <is>
          <t>A Plot subtype playable any time except during an Instant or Privileged Attack. It goes to the table center and affects all players. Three colors (red, blue, yellow); only one per color in play: a new NWO of a color discards the previous one (an identical NWO may replace itself, becoming the latest played). Removed only by a negating card or by same-color replacement. Resolve ambiguous combinations one card at a time in play order. Changes they make are permanent (count for Goals).</t>
        </is>
      </c>
      <c r="D46" s="20" t="inlineStr">
        <is>
          <t>Required</t>
        </is>
      </c>
      <c r="E46" s="20" t="inlineStr">
        <is>
          <t>https://www.sjgames.com/inwo/rules/inwo-rules-12.pdf</t>
        </is>
      </c>
      <c r="F46" s="20" t="inlineStr">
        <is>
          <t>new (rules v1.2: New World Order Cards (p.13); Glossary: Permanent Change)</t>
        </is>
      </c>
    </row>
    <row r="47">
      <c r="A47" s="20" t="inlineStr">
        <is>
          <t>R046</t>
        </is>
      </c>
      <c r="B47" s="20" t="inlineStr">
        <is>
          <t>Group rules: power, alignment, arrows</t>
        </is>
      </c>
      <c r="C47" s="20" t="inlineStr">
        <is>
          <t>Four Group types: Illuminati (4 outgoing arrows, no Resistance, no alignments/attributes, cannot be attacked, only destroyed by losing all puppets), Places (Disaster targets), Personalities (Assassination targets), Organizations. Ten alignments with opposites Government/Corporate, Liberal/Conservative, Peaceful/Violent, Straight/Weird; Criminal has none; any two Fanatic Groups are mutual opposites. A Group cannot hold opposite alignments (gaining one removes the other) or the same alignment twice. Attributes have no inherent effect. Power X/Y: X regular, Y Global. Non-Illuminati Groups have 1 incoming and 0-3 outgoing arrows; cards may be rotated but must line up and never overlap. Group abilities stop immediately when destroyed; costs are paid by the owner. Card text overrides the rulebook except the Meta-Rules; beneficial text is a cancellable special ability, harmful text is an uncancellable instruction.</t>
        </is>
      </c>
      <c r="D47" s="20" t="inlineStr">
        <is>
          <t>Required</t>
        </is>
      </c>
      <c r="E47" s="20" t="inlineStr">
        <is>
          <t>https://www.sjgames.com/inwo/rules/inwo-rules-12.pdf</t>
        </is>
      </c>
      <c r="F47" s="20" t="inlineStr">
        <is>
          <t>new (rules v1.2: Types of Groups; Alignment; Attributes; Power; Resistance; Control Arrows (p.6-7); Glossary: Special Ability)</t>
        </is>
      </c>
    </row>
    <row r="48">
      <c r="A48" s="20" t="inlineStr">
        <is>
          <t>R047</t>
        </is>
      </c>
      <c r="B48" s="20" t="inlineStr">
        <is>
          <t>Calculation order and dice</t>
        </is>
      </c>
      <c r="C48" s="20" t="inlineStr">
        <is>
          <t>For any value: first set-to-value effects, then the single largest multiplier (multipliers never combine; a self-defense action raises its own multiplier by one step), then additions/subtractions. Modified die results are clamped to the possible range (e.g. 1-6 for one die). Rolls on attacks: 2d6, success on &lt;= strength; 11-12 always fails; strength &lt; 2 fails without rolling. Changes to a Group persist (in hand, moved, etc.) until explicitly reversed, but a destroyed Group returns with printed values only.</t>
        </is>
      </c>
      <c r="D48" s="20" t="inlineStr">
        <is>
          <t>Required</t>
        </is>
      </c>
      <c r="E48" s="20" t="inlineStr">
        <is>
          <t>https://www.sjgames.com/inwo/rules/inwo-rules-12.pdf</t>
        </is>
      </c>
      <c r="F48" s="20" t="inlineStr">
        <is>
          <t>new (rules v1.2: Resolving the Attack (p.9); Meta-Rules (p.17-18); The Cards Remember (p.15))</t>
        </is>
      </c>
    </row>
    <row r="49">
      <c r="A49" s="20" t="inlineStr">
        <is>
          <t>R048</t>
        </is>
      </c>
      <c r="B49" s="20" t="inlineStr">
        <is>
          <t>Discards and card access</t>
        </is>
      </c>
      <c r="C49" s="20" t="inlineStr">
        <is>
          <t>Discards go face up to the owner's pile unless a card says otherwise; discarded cards are gone permanently unless immediately recovered by a card. Any card in hand may be discarded at any time except mid multi-card draw or right after a look/steal attempt. 'Draw' = top card; 'choose' = search the deck, then shuffle (any player may cut). The owner may see which card is stolen. Track card ownership for return after the game.</t>
        </is>
      </c>
      <c r="D49" s="20" t="inlineStr">
        <is>
          <t>Required</t>
        </is>
      </c>
      <c r="E49" s="20" t="inlineStr">
        <is>
          <t>https://www.sjgames.com/inwo/rules/inwo-rules-12.pdf</t>
        </is>
      </c>
      <c r="F49" s="20" t="inlineStr">
        <is>
          <t>new (rules v1.2: Discards (p.4); Glossary: Draw and Choose, Shuffle; Meta-Rules (p.17))</t>
        </is>
      </c>
    </row>
    <row r="50">
      <c r="A50" s="20" t="inlineStr">
        <is>
          <t>R049</t>
        </is>
      </c>
      <c r="B50" s="20" t="inlineStr">
        <is>
          <t>Player elimination</t>
        </is>
      </c>
      <c r="C50" s="20" t="inlineStr">
        <is>
          <t>After his third complete turn, a player whose Illuminati has no puppets is eliminated at once; his hand, decks and Resources leave play (Resources go to a same-Illuminati eliminator). Leaving the game counts as elimination. Exception: Servants of Cthulhu that destroy their own last puppet as their 8th destroyed Group win at end of turn instead.</t>
        </is>
      </c>
      <c r="D50" s="20" t="inlineStr">
        <is>
          <t>Required</t>
        </is>
      </c>
      <c r="E50" s="20" t="inlineStr">
        <is>
          <t>https://www.sjgames.com/inwo/rules/inwo-rules-12.pdf</t>
        </is>
      </c>
      <c r="F50" s="20" t="inlineStr">
        <is>
          <t>new (rules v1.2: Eliminating a Player (p.15-16))</t>
        </is>
      </c>
    </row>
    <row r="51">
      <c r="A51" s="20" t="inlineStr">
        <is>
          <t>R050</t>
        </is>
      </c>
      <c r="B51" s="20" t="inlineStr">
        <is>
          <t>Special cards</t>
        </is>
      </c>
      <c r="C51" s="20" t="inlineStr">
        <is>
          <t>The term 'Special Cards' is not specified in rules v1.2. Card categories with special rules are: Illuminati (including extras in the Plot deck), New World Orders, Goal cards, and the Plot families (+10, Attribute Freeze, Paralyze, Power Increase, Zap); see their respective rules.</t>
        </is>
      </c>
      <c r="D51" s="20" t="inlineStr">
        <is>
          <t>Required</t>
        </is>
      </c>
      <c r="E51" s="20" t="inlineStr">
        <is>
          <t>https://www.sjgames.com/inwo/rules/inwo-rules-12.pdf</t>
        </is>
      </c>
      <c r="F51" s="20" t="inlineStr">
        <is>
          <t>new (rules v1.2: Index / The Cards (p.4))</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30"/>
  <sheetViews>
    <sheetView tabSelected="0" workbookViewId="0">
      <selection activeCell="A1" sqref="A1"/>
    </sheetView>
  </sheetViews>
  <sheetFormatPr baseColWidth="8" defaultRowHeight="15"/>
  <cols>
    <col width="24" customWidth="1" style="16" min="1" max="1"/>
    <col width="24" customWidth="1" style="16" min="2" max="2"/>
    <col width="24" customWidth="1" style="16" min="3" max="3"/>
    <col width="24" customWidth="1" style="16" min="4" max="4"/>
    <col width="60" customWidth="1" style="16" min="5" max="5"/>
  </cols>
  <sheetData>
    <row r="1">
      <c r="A1" s="19" t="inlineStr">
        <is>
          <t>Entity</t>
        </is>
      </c>
      <c r="B1" s="19" t="inlineStr">
        <is>
          <t>Field</t>
        </is>
      </c>
      <c r="C1" s="19" t="inlineStr">
        <is>
          <t>Type</t>
        </is>
      </c>
      <c r="D1" s="19" t="inlineStr">
        <is>
          <t>Required</t>
        </is>
      </c>
      <c r="E1" s="19" t="inlineStr">
        <is>
          <t>Meaning</t>
        </is>
      </c>
    </row>
    <row r="2">
      <c r="A2" s="20" t="inlineStr">
        <is>
          <t>Game</t>
        </is>
      </c>
      <c r="B2" s="20" t="inlineStr">
        <is>
          <t>phase</t>
        </is>
      </c>
      <c r="C2" s="20" t="inlineStr">
        <is>
          <t>enum</t>
        </is>
      </c>
      <c r="D2" s="20" t="b">
        <v>1</v>
      </c>
      <c r="E2" s="20" t="inlineStr">
        <is>
          <t>Current setup/turn/attack/response/victory phase</t>
        </is>
      </c>
    </row>
    <row r="3">
      <c r="A3" s="20" t="inlineStr">
        <is>
          <t>Game</t>
        </is>
      </c>
      <c r="B3" s="20" t="inlineStr">
        <is>
          <t>round_number</t>
        </is>
      </c>
      <c r="C3" s="20" t="inlineStr">
        <is>
          <t>integer</t>
        </is>
      </c>
      <c r="D3" s="20" t="b">
        <v>1</v>
      </c>
      <c r="E3" s="20" t="inlineStr">
        <is>
          <t>Completed/active round tracking</t>
        </is>
      </c>
    </row>
    <row r="4">
      <c r="A4" s="20" t="inlineStr">
        <is>
          <t>Game</t>
        </is>
      </c>
      <c r="B4" s="20" t="inlineStr">
        <is>
          <t>active_player_id</t>
        </is>
      </c>
      <c r="C4" s="20" t="inlineStr">
        <is>
          <t>player_id</t>
        </is>
      </c>
      <c r="D4" s="20" t="b">
        <v>1</v>
      </c>
      <c r="E4" s="20" t="inlineStr">
        <is>
          <t>Player whose turn is active</t>
        </is>
      </c>
    </row>
    <row r="5">
      <c r="A5" s="20" t="inlineStr">
        <is>
          <t>Game</t>
        </is>
      </c>
      <c r="B5" s="20" t="inlineStr">
        <is>
          <t>priority_player_id</t>
        </is>
      </c>
      <c r="C5" s="20" t="inlineStr">
        <is>
          <t>player_id</t>
        </is>
      </c>
      <c r="D5" s="20" t="b">
        <v>1</v>
      </c>
      <c r="E5" s="20" t="inlineStr">
        <is>
          <t>Player currently allowed to respond</t>
        </is>
      </c>
    </row>
    <row r="6">
      <c r="A6" s="20" t="inlineStr">
        <is>
          <t>Game</t>
        </is>
      </c>
      <c r="B6" s="20" t="inlineStr">
        <is>
          <t>active_nwo_by_color</t>
        </is>
      </c>
      <c r="C6" s="20" t="inlineStr">
        <is>
          <t>map</t>
        </is>
      </c>
      <c r="D6" s="20" t="b">
        <v>1</v>
      </c>
      <c r="E6" s="20" t="inlineStr">
        <is>
          <t>Current NWO state and play order</t>
        </is>
      </c>
    </row>
    <row r="7">
      <c r="A7" s="20" t="inlineStr">
        <is>
          <t>Game</t>
        </is>
      </c>
      <c r="B7" s="20" t="inlineStr">
        <is>
          <t>discard_piles</t>
        </is>
      </c>
      <c r="C7" s="20" t="inlineStr">
        <is>
          <t>collections</t>
        </is>
      </c>
      <c r="D7" s="20" t="b">
        <v>1</v>
      </c>
      <c r="E7" s="20" t="inlineStr">
        <is>
          <t>Face-up Group/Plot/Resource discard state</t>
        </is>
      </c>
    </row>
    <row r="8">
      <c r="A8" s="20" t="inlineStr">
        <is>
          <t>Game</t>
        </is>
      </c>
      <c r="B8" s="20" t="inlineStr">
        <is>
          <t>pending_stack</t>
        </is>
      </c>
      <c r="C8" s="20" t="inlineStr">
        <is>
          <t>ordered effects</t>
        </is>
      </c>
      <c r="D8" s="20" t="b">
        <v>1</v>
      </c>
      <c r="E8" s="20" t="inlineStr">
        <is>
          <t>Unresolved actions, responses and modifiers</t>
        </is>
      </c>
    </row>
    <row r="9">
      <c r="A9" s="20" t="inlineStr">
        <is>
          <t>Player</t>
        </is>
      </c>
      <c r="B9" s="20" t="inlineStr">
        <is>
          <t>illuminati_card</t>
        </is>
      </c>
      <c r="C9" s="20" t="inlineStr">
        <is>
          <t>card_id</t>
        </is>
      </c>
      <c r="D9" s="20" t="b">
        <v>1</v>
      </c>
      <c r="E9" s="20" t="inlineStr">
        <is>
          <t>Player's Illuminati</t>
        </is>
      </c>
    </row>
    <row r="10">
      <c r="A10" s="20" t="inlineStr">
        <is>
          <t>Player</t>
        </is>
      </c>
      <c r="B10" s="20" t="inlineStr">
        <is>
          <t>power_structure</t>
        </is>
      </c>
      <c r="C10" s="20" t="inlineStr">
        <is>
          <t>graph</t>
        </is>
      </c>
      <c r="D10" s="20" t="b">
        <v>1</v>
      </c>
      <c r="E10" s="20" t="inlineStr">
        <is>
          <t>Master/puppet links and legal control arrows</t>
        </is>
      </c>
    </row>
    <row r="11">
      <c r="A11" s="20" t="inlineStr">
        <is>
          <t>Player</t>
        </is>
      </c>
      <c r="B11" s="20" t="inlineStr">
        <is>
          <t>group_hand</t>
        </is>
      </c>
      <c r="C11" s="20" t="inlineStr">
        <is>
          <t>card collection</t>
        </is>
      </c>
      <c r="D11" s="20" t="b">
        <v>1</v>
      </c>
      <c r="E11" s="20" t="inlineStr">
        <is>
          <t>Hidden uncontrolled Groups/Resources as rules allow</t>
        </is>
      </c>
    </row>
    <row r="12">
      <c r="A12" s="20" t="inlineStr">
        <is>
          <t>Player</t>
        </is>
      </c>
      <c r="B12" s="20" t="inlineStr">
        <is>
          <t>plot_hand</t>
        </is>
      </c>
      <c r="C12" s="20" t="inlineStr">
        <is>
          <t>card collection</t>
        </is>
      </c>
      <c r="D12" s="20" t="b">
        <v>1</v>
      </c>
      <c r="E12" s="20" t="inlineStr">
        <is>
          <t>Hidden Plot cards</t>
        </is>
      </c>
    </row>
    <row r="13">
      <c r="A13" s="20" t="inlineStr">
        <is>
          <t>Player</t>
        </is>
      </c>
      <c r="B13" s="20" t="inlineStr">
        <is>
          <t>goal_state</t>
        </is>
      </c>
      <c r="C13" s="20" t="inlineStr">
        <is>
          <t>collection</t>
        </is>
      </c>
      <c r="D13" s="20" t="b">
        <v>1</v>
      </c>
      <c r="E13" s="20" t="inlineStr">
        <is>
          <t>Goal possession/exposure state</t>
        </is>
      </c>
    </row>
    <row r="14">
      <c r="A14" s="20" t="inlineStr">
        <is>
          <t>Player</t>
        </is>
      </c>
      <c r="B14" s="20" t="inlineStr">
        <is>
          <t>money</t>
        </is>
      </c>
      <c r="C14" s="20" t="inlineStr">
        <is>
          <t>integer/map</t>
        </is>
      </c>
      <c r="D14" s="20" t="b">
        <v>1</v>
      </c>
      <c r="E14" s="20" t="inlineStr">
        <is>
          <t>Treasury and money stored where rules permit</t>
        </is>
      </c>
    </row>
    <row r="15">
      <c r="A15" s="20" t="inlineStr">
        <is>
          <t>CardInstance</t>
        </is>
      </c>
      <c r="B15" s="20" t="inlineStr">
        <is>
          <t>owner/controller</t>
        </is>
      </c>
      <c r="C15" s="20" t="inlineStr">
        <is>
          <t>player_id</t>
        </is>
      </c>
      <c r="D15" s="20" t="b">
        <v>1</v>
      </c>
      <c r="E15" s="20" t="inlineStr">
        <is>
          <t>Current ownership/control</t>
        </is>
      </c>
    </row>
    <row r="16">
      <c r="A16" s="20" t="inlineStr">
        <is>
          <t>CardInstance</t>
        </is>
      </c>
      <c r="B16" s="20" t="inlineStr">
        <is>
          <t>location</t>
        </is>
      </c>
      <c r="C16" s="20" t="inlineStr">
        <is>
          <t>enum</t>
        </is>
      </c>
      <c r="D16" s="20" t="b">
        <v>1</v>
      </c>
      <c r="E16" s="20" t="inlineStr">
        <is>
          <t>Deck/hand/table/discard/destroyed/etc.</t>
        </is>
      </c>
    </row>
    <row r="17">
      <c r="A17" s="20" t="inlineStr">
        <is>
          <t>CardInstance</t>
        </is>
      </c>
      <c r="B17" s="20" t="inlineStr">
        <is>
          <t>action_tokens</t>
        </is>
      </c>
      <c r="C17" s="20" t="inlineStr">
        <is>
          <t>integer</t>
        </is>
      </c>
      <c r="D17" s="20" t="b">
        <v>1</v>
      </c>
      <c r="E17" s="20" t="inlineStr">
        <is>
          <t>Current available action tokens</t>
        </is>
      </c>
    </row>
    <row r="18">
      <c r="A18" s="20" t="inlineStr">
        <is>
          <t>CardInstance</t>
        </is>
      </c>
      <c r="B18" s="20" t="inlineStr">
        <is>
          <t>money</t>
        </is>
      </c>
      <c r="C18" s="20" t="inlineStr">
        <is>
          <t>integer</t>
        </is>
      </c>
      <c r="D18" s="20" t="b">
        <v>1</v>
      </c>
      <c r="E18" s="20" t="inlineStr">
        <is>
          <t>Money currently stored on card if legal</t>
        </is>
      </c>
    </row>
    <row r="19">
      <c r="A19" s="20" t="inlineStr">
        <is>
          <t>CardInstance</t>
        </is>
      </c>
      <c r="B19" s="20" t="inlineStr">
        <is>
          <t>exposed</t>
        </is>
      </c>
      <c r="C19" s="20" t="inlineStr">
        <is>
          <t>boolean</t>
        </is>
      </c>
      <c r="D19" s="20" t="b">
        <v>1</v>
      </c>
      <c r="E19" s="20" t="inlineStr">
        <is>
          <t>Hidden/Secret/exposed state</t>
        </is>
      </c>
    </row>
    <row r="20">
      <c r="A20" s="20" t="inlineStr">
        <is>
          <t>CardInstance</t>
        </is>
      </c>
      <c r="B20" s="20" t="inlineStr">
        <is>
          <t>devastated</t>
        </is>
      </c>
      <c r="C20" s="20" t="inlineStr">
        <is>
          <t>boolean</t>
        </is>
      </c>
      <c r="D20" s="20" t="b">
        <v>1</v>
      </c>
      <c r="E20" s="20" t="inlineStr">
        <is>
          <t>Place devastation state</t>
        </is>
      </c>
    </row>
    <row r="21">
      <c r="A21" s="20" t="inlineStr">
        <is>
          <t>CardInstance</t>
        </is>
      </c>
      <c r="B21" s="20" t="inlineStr">
        <is>
          <t>temporary_modifiers</t>
        </is>
      </c>
      <c r="C21" s="20" t="inlineStr">
        <is>
          <t>list</t>
        </is>
      </c>
      <c r="D21" s="20" t="b">
        <v>1</v>
      </c>
      <c r="E21" s="20" t="inlineStr">
        <is>
          <t>Expiring effects with source and expiry event</t>
        </is>
      </c>
    </row>
    <row r="22">
      <c r="A22" s="20" t="inlineStr">
        <is>
          <t>CardInstance</t>
        </is>
      </c>
      <c r="B22" s="20" t="inlineStr">
        <is>
          <t>permanent_modifiers</t>
        </is>
      </c>
      <c r="C22" s="20" t="inlineStr">
        <is>
          <t>list</t>
        </is>
      </c>
      <c r="D22" s="20" t="b">
        <v>1</v>
      </c>
      <c r="E22" s="20" t="inlineStr">
        <is>
          <t>Permanent alignment/stat/attribute changes</t>
        </is>
      </c>
    </row>
    <row r="23">
      <c r="A23" s="20" t="inlineStr">
        <is>
          <t>CardInstance</t>
        </is>
      </c>
      <c r="B23" s="20" t="inlineStr">
        <is>
          <t>links</t>
        </is>
      </c>
      <c r="C23" s="20" t="inlineStr">
        <is>
          <t>list</t>
        </is>
      </c>
      <c r="D23" s="20" t="b">
        <v>1</v>
      </c>
      <c r="E23" s="20" t="inlineStr">
        <is>
          <t>Resource/personality/card links</t>
        </is>
      </c>
    </row>
    <row r="24">
      <c r="A24" s="20" t="inlineStr">
        <is>
          <t>Attack</t>
        </is>
      </c>
      <c r="B24" s="20" t="inlineStr">
        <is>
          <t>type</t>
        </is>
      </c>
      <c r="C24" s="20" t="inlineStr">
        <is>
          <t>enum</t>
        </is>
      </c>
      <c r="D24" s="20" t="b">
        <v>1</v>
      </c>
      <c r="E24" s="20" t="inlineStr">
        <is>
          <t>control / destroy / Instant (Disaster, Assassination) / devastate</t>
        </is>
      </c>
    </row>
    <row r="25">
      <c r="A25" s="20" t="inlineStr">
        <is>
          <t>Attack</t>
        </is>
      </c>
      <c r="B25" s="20" t="inlineStr">
        <is>
          <t>attacker/target</t>
        </is>
      </c>
      <c r="C25" s="20" t="inlineStr">
        <is>
          <t>instance ids</t>
        </is>
      </c>
      <c r="D25" s="20" t="b">
        <v>1</v>
      </c>
      <c r="E25" s="20" t="inlineStr">
        <is>
          <t>Participants</t>
        </is>
      </c>
    </row>
    <row r="26">
      <c r="A26" s="20" t="inlineStr">
        <is>
          <t>Attack</t>
        </is>
      </c>
      <c r="B26" s="20" t="inlineStr">
        <is>
          <t>base_strength</t>
        </is>
      </c>
      <c r="C26" s="20" t="inlineStr">
        <is>
          <t>integer</t>
        </is>
      </c>
      <c r="D26" s="20" t="b">
        <v>1</v>
      </c>
      <c r="E26" s="20" t="inlineStr">
        <is>
          <t>Strength before modifiers</t>
        </is>
      </c>
    </row>
    <row r="27">
      <c r="A27" s="20" t="inlineStr">
        <is>
          <t>Attack</t>
        </is>
      </c>
      <c r="B27" s="20" t="inlineStr">
        <is>
          <t>modifiers</t>
        </is>
      </c>
      <c r="C27" s="20" t="inlineStr">
        <is>
          <t>ordered list</t>
        </is>
      </c>
      <c r="D27" s="20" t="b">
        <v>1</v>
      </c>
      <c r="E27" s="20" t="inlineStr">
        <is>
          <t>Every modifier with source and timing</t>
        </is>
      </c>
    </row>
    <row r="28">
      <c r="A28" s="20" t="inlineStr">
        <is>
          <t>Attack</t>
        </is>
      </c>
      <c r="B28" s="20" t="inlineStr">
        <is>
          <t>privileged</t>
        </is>
      </c>
      <c r="C28" s="20" t="inlineStr">
        <is>
          <t>boolean</t>
        </is>
      </c>
      <c r="D28" s="20" t="b">
        <v>1</v>
      </c>
      <c r="E28" s="20" t="inlineStr">
        <is>
          <t>Whether outside interference is restricted</t>
        </is>
      </c>
    </row>
    <row r="29">
      <c r="A29" s="20" t="inlineStr">
        <is>
          <t>Attack</t>
        </is>
      </c>
      <c r="B29" s="20" t="inlineStr">
        <is>
          <t>roll</t>
        </is>
      </c>
      <c r="C29" s="20" t="inlineStr">
        <is>
          <t>2d6/result</t>
        </is>
      </c>
      <c r="D29" s="20" t="b">
        <v>1</v>
      </c>
      <c r="E29" s="20" t="inlineStr">
        <is>
          <t>Rolled and modified result</t>
        </is>
      </c>
    </row>
    <row r="30">
      <c r="A30" s="20" t="inlineStr">
        <is>
          <t>Attack</t>
        </is>
      </c>
      <c r="B30" s="20" t="inlineStr">
        <is>
          <t>outcome</t>
        </is>
      </c>
      <c r="C30" s="20" t="inlineStr">
        <is>
          <t>enum</t>
        </is>
      </c>
      <c r="D30" s="20" t="b">
        <v>1</v>
      </c>
      <c r="E30" s="20" t="inlineStr">
        <is>
          <t>success/failure and resulting state transition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2"/>
  <sheetViews>
    <sheetView tabSelected="0" workbookViewId="0">
      <selection activeCell="A1" sqref="A1"/>
    </sheetView>
  </sheetViews>
  <sheetFormatPr baseColWidth="8" defaultRowHeight="15"/>
  <cols>
    <col width="24" customWidth="1" style="16" min="1" max="1"/>
    <col width="24" customWidth="1" style="16" min="2" max="2"/>
    <col width="85" customWidth="1" style="16" min="3" max="3"/>
  </cols>
  <sheetData>
    <row r="1">
      <c r="A1" s="19" t="inlineStr">
        <is>
          <t>Order</t>
        </is>
      </c>
      <c r="B1" s="19" t="inlineStr">
        <is>
          <t>Stage</t>
        </is>
      </c>
      <c r="C1" s="19" t="inlineStr">
        <is>
          <t>Engine behavior</t>
        </is>
      </c>
    </row>
    <row r="2">
      <c r="A2" s="20" t="n">
        <v>1</v>
      </c>
      <c r="B2" s="20" t="inlineStr">
        <is>
          <t>Declare</t>
        </is>
      </c>
      <c r="C2" s="20" t="inlineStr">
        <is>
          <t>Validate legal actor, target, action cost and timing.</t>
        </is>
      </c>
    </row>
    <row r="3">
      <c r="A3" s="20" t="n">
        <v>2</v>
      </c>
      <c r="B3" s="20" t="inlineStr">
        <is>
          <t>Pay/commit</t>
        </is>
      </c>
      <c r="C3" s="20" t="inlineStr">
        <is>
          <t>Commit required action tokens/money/cards as dictated by the initiating effect.</t>
        </is>
      </c>
    </row>
    <row r="4">
      <c r="A4" s="20" t="n">
        <v>3</v>
      </c>
      <c r="B4" s="20" t="inlineStr">
        <is>
          <t>Open response window</t>
        </is>
      </c>
      <c r="C4" s="20" t="inlineStr">
        <is>
          <t>Eligible players may play legal responses, modifiers, interference or cancellation.</t>
        </is>
      </c>
    </row>
    <row r="5">
      <c r="A5" s="20" t="n">
        <v>4</v>
      </c>
      <c r="B5" s="20" t="inlineStr">
        <is>
          <t>Resolve responses</t>
        </is>
      </c>
      <c r="C5" s="20" t="inlineStr">
        <is>
          <t>Resolve responses using the official timing/priority rules; specific card text overrides general rules.</t>
        </is>
      </c>
    </row>
    <row r="6">
      <c r="A6" s="20" t="n">
        <v>5</v>
      </c>
      <c r="B6" s="20" t="inlineStr">
        <is>
          <t>Calculate strength</t>
        </is>
      </c>
      <c r="C6" s="20" t="inlineStr">
        <is>
          <t>Compute base Power/Resistance plus alignments, Power Structure defense, NWO, card and temporary modifiers.</t>
        </is>
      </c>
    </row>
    <row r="7">
      <c r="A7" s="20" t="n">
        <v>6</v>
      </c>
      <c r="B7" s="20" t="inlineStr">
        <is>
          <t>Roll if required</t>
        </is>
      </c>
      <c r="C7" s="20" t="inlineStr">
        <is>
          <t>Roll dice, apply legal die-changing effects, clamp modified roll to legal range.</t>
        </is>
      </c>
    </row>
    <row r="8">
      <c r="A8" s="20" t="n">
        <v>7</v>
      </c>
      <c r="B8" s="20" t="inlineStr">
        <is>
          <t>Determine result</t>
        </is>
      </c>
      <c r="C8" s="20" t="inlineStr">
        <is>
          <t>Compare final roll/strength against the applicable success rule.</t>
        </is>
      </c>
    </row>
    <row r="9">
      <c r="A9" s="20" t="n">
        <v>8</v>
      </c>
      <c r="B9" s="20" t="inlineStr">
        <is>
          <t>Apply outcome</t>
        </is>
      </c>
      <c r="C9" s="20" t="inlineStr">
        <is>
          <t>Control, destroy, devastate, assassinate, cancel, paralyze, transfer, discard, etc.</t>
        </is>
      </c>
    </row>
    <row r="10">
      <c r="A10" s="20" t="n">
        <v>9</v>
      </c>
      <c r="B10" s="20" t="inlineStr">
        <is>
          <t>Triggered aftermath</t>
        </is>
      </c>
      <c r="C10" s="20" t="inlineStr">
        <is>
          <t>Resolve effects triggered by success/failure/destruction/capture.</t>
        </is>
      </c>
    </row>
    <row r="11">
      <c r="A11" s="20" t="n">
        <v>10</v>
      </c>
      <c r="B11" s="20" t="inlineStr">
        <is>
          <t>Victory check</t>
        </is>
      </c>
      <c r="C11" s="20" t="inlineStr">
        <is>
          <t>Check legal victory only when rules permit; first-round restriction applies.</t>
        </is>
      </c>
    </row>
    <row r="12">
      <c r="A12" s="20" t="n">
        <v>11</v>
      </c>
      <c r="B12" s="20" t="inlineStr">
        <is>
          <t>Cleanup</t>
        </is>
      </c>
      <c r="C12" s="20" t="inlineStr">
        <is>
          <t>Expire end-of-action effects and close the response stack.</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17"/>
  <sheetViews>
    <sheetView tabSelected="0" workbookViewId="0">
      <selection activeCell="A1" sqref="A1"/>
    </sheetView>
  </sheetViews>
  <sheetFormatPr baseColWidth="8" defaultRowHeight="15"/>
  <cols>
    <col width="24" customWidth="1" style="16" min="1" max="1"/>
    <col width="80" customWidth="1" style="16" min="2" max="2"/>
    <col width="55" customWidth="1" style="16" min="3" max="3"/>
  </cols>
  <sheetData>
    <row r="1">
      <c r="A1" s="19" t="inlineStr">
        <is>
          <t>Card / Rule</t>
        </is>
      </c>
      <c r="B1" s="19" t="inlineStr">
        <is>
          <t>Required implementation correction</t>
        </is>
      </c>
      <c r="C1" s="19" t="inlineStr">
        <is>
          <t>Source</t>
        </is>
      </c>
    </row>
    <row r="2">
      <c r="A2" s="20" t="inlineStr">
        <is>
          <t>China</t>
        </is>
      </c>
      <c r="B2" s="20" t="inlineStr">
        <is>
          <t>+20 defense against Disasters.</t>
        </is>
      </c>
      <c r="C2" s="20" t="inlineStr">
        <is>
          <t>https://www.sjgames.com/sjgames/inwo/rules/b/Rules_Update.html</t>
        </is>
      </c>
    </row>
    <row r="3">
      <c r="A3" s="20" t="inlineStr">
        <is>
          <t>Clipper Chip</t>
        </is>
      </c>
      <c r="B3" s="20" t="inlineStr">
        <is>
          <t>Maximum one per player.</t>
        </is>
      </c>
      <c r="C3" s="20" t="inlineStr">
        <is>
          <t>https://www.sjgames.com/sjgames/inwo/rules/b/Rules_Update.html</t>
        </is>
      </c>
    </row>
    <row r="4">
      <c r="A4" s="20" t="inlineStr">
        <is>
          <t>Combined Disasters</t>
        </is>
      </c>
      <c r="B4" s="20" t="inlineStr">
        <is>
          <t>Both Disasters must be eligible to strike the target Place.</t>
        </is>
      </c>
      <c r="C4" s="20" t="inlineStr">
        <is>
          <t>https://www.sjgames.com/sjgames/inwo/rules/b/Rules_Update.html</t>
        </is>
      </c>
    </row>
    <row r="5">
      <c r="A5" s="20" t="inlineStr">
        <is>
          <t>Eliza</t>
        </is>
      </c>
      <c r="B5" s="20" t="inlineStr">
        <is>
          <t>Maximum one per Group.</t>
        </is>
      </c>
      <c r="C5" s="20" t="inlineStr">
        <is>
          <t>https://www.sjgames.com/sjgames/inwo/rules/b/Rules_Update.html</t>
        </is>
      </c>
    </row>
    <row r="6">
      <c r="A6" s="20" t="inlineStr">
        <is>
          <t>Gnomes of Zurich</t>
        </is>
      </c>
      <c r="B6" s="20" t="inlineStr">
        <is>
          <t>+4 to control Bank Groups only, not Corporate Groups generally.</t>
        </is>
      </c>
      <c r="C6" s="20" t="inlineStr">
        <is>
          <t>https://www.sjgames.com/sjgames/inwo/rules/b/Rules_Update.html</t>
        </is>
      </c>
    </row>
    <row r="7">
      <c r="A7" s="20" t="inlineStr">
        <is>
          <t>Orbit One</t>
        </is>
      </c>
      <c r="B7" s="20" t="inlineStr">
        <is>
          <t>May be affected by Nuclear Disaster but not Earthquake.</t>
        </is>
      </c>
      <c r="C7" s="20" t="inlineStr">
        <is>
          <t>https://www.sjgames.com/sjgames/inwo/rules/b/Rules_Update.html</t>
        </is>
      </c>
    </row>
    <row r="8">
      <c r="A8" s="20" t="inlineStr">
        <is>
          <t>The Oregon Crud</t>
        </is>
      </c>
      <c r="B8" s="20" t="inlineStr">
        <is>
          <t>Power 24; destroys when success margin is 10+.</t>
        </is>
      </c>
      <c r="C8" s="20" t="inlineStr">
        <is>
          <t>https://www.sjgames.com/sjgames/inwo/rules/b/Rules_Update.html</t>
        </is>
      </c>
    </row>
    <row r="9">
      <c r="A9" s="20" t="inlineStr">
        <is>
          <t>Political Correctness</t>
        </is>
      </c>
      <c r="B9" s="20" t="inlineStr">
        <is>
          <t>Affects Conservative Groups with Power 0 or 1.</t>
        </is>
      </c>
      <c r="C9" s="20" t="inlineStr">
        <is>
          <t>https://www.sjgames.com/sjgames/inwo/rules/b/Rules_Update.html</t>
        </is>
      </c>
    </row>
    <row r="10">
      <c r="A10" s="20" t="inlineStr">
        <is>
          <t>Seize The Time</t>
        </is>
      </c>
      <c r="B10" s="20" t="inlineStr">
        <is>
          <t>Requires Illuminati action; not first turn; no new Illuminati action tokens; no draw/Plots during extra turn.</t>
        </is>
      </c>
      <c r="C10" s="20" t="inlineStr">
        <is>
          <t>https://www.sjgames.com/sjgames/inwo/rules/b/Rules_Update.html</t>
        </is>
      </c>
    </row>
    <row r="11">
      <c r="A11" s="20" t="inlineStr">
        <is>
          <t>Shangri-La</t>
        </is>
      </c>
      <c r="B11" s="20" t="inlineStr">
        <is>
          <t>+5 defense applies against Instant attacks.</t>
        </is>
      </c>
      <c r="C11" s="20" t="inlineStr">
        <is>
          <t>https://www.sjgames.com/sjgames/inwo/rules/b/Rules_Update.html</t>
        </is>
      </c>
    </row>
    <row r="12">
      <c r="A12" s="20" t="inlineStr">
        <is>
          <t>Upheaval!</t>
        </is>
      </c>
      <c r="B12" s="20" t="inlineStr">
        <is>
          <t>Requires Illuminati action; not first turn; affected Groups are discarded, not destroyed.</t>
        </is>
      </c>
      <c r="C12" s="20" t="inlineStr">
        <is>
          <t>https://www.sjgames.com/sjgames/inwo/rules/b/Rules_Update.html</t>
        </is>
      </c>
    </row>
    <row r="13">
      <c r="A13" s="20" t="inlineStr">
        <is>
          <t>Video Games</t>
        </is>
      </c>
      <c r="B13" s="20" t="inlineStr">
        <is>
          <t>+1 Power to all your other Computer Groups.</t>
        </is>
      </c>
      <c r="C13" s="20" t="inlineStr">
        <is>
          <t>https://www.sjgames.com/sjgames/inwo/rules/b/Rules_Update.html</t>
        </is>
      </c>
    </row>
    <row r="14">
      <c r="A14" s="20" t="inlineStr">
        <is>
          <t>Volcano</t>
        </is>
      </c>
      <c r="B14" s="20" t="inlineStr">
        <is>
          <t>Power 18; destroys on success margin 2+.</t>
        </is>
      </c>
      <c r="C14" s="20" t="inlineStr">
        <is>
          <t>https://www.sjgames.com/sjgames/inwo/rules/b/Rules_Update.html</t>
        </is>
      </c>
    </row>
    <row r="15">
      <c r="A15" s="20" t="inlineStr">
        <is>
          <t>Voodoo Economics</t>
        </is>
      </c>
      <c r="B15" s="20" t="inlineStr">
        <is>
          <t>Requires Illuminati action; once per player per game.</t>
        </is>
      </c>
      <c r="C15" s="20" t="inlineStr">
        <is>
          <t>https://www.sjgames.com/sjgames/inwo/rules/b/Rules_Update.html</t>
        </is>
      </c>
    </row>
    <row r="16">
      <c r="A16" s="20" t="inlineStr">
        <is>
          <t>Weather Satellite</t>
        </is>
      </c>
      <c r="B16" s="20" t="inlineStr">
        <is>
          <t>Adds +10 to Rain of Frogs, Hurricane, and Tornado, but not to Tidal Wave.</t>
        </is>
      </c>
      <c r="C16" s="20" t="inlineStr">
        <is>
          <t>https://www.sjgames.com/sjgames/inwo/rules/b/Rules_Update.html</t>
        </is>
      </c>
    </row>
    <row r="17">
      <c r="A17" s="20" t="inlineStr">
        <is>
          <t>+10 Plot cards</t>
        </is>
      </c>
      <c r="B17" s="20" t="inlineStr">
        <is>
          <t>A given +10 Plot never counts more than once for the same action/defense.</t>
        </is>
      </c>
      <c r="C17" s="20" t="inlineStr">
        <is>
          <t>https://www.sjgames.com/inwo/rules/inwo-rules-12.pdf</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16"/>
  <sheetViews>
    <sheetView tabSelected="0" workbookViewId="0">
      <selection activeCell="A1" sqref="A1"/>
    </sheetView>
  </sheetViews>
  <sheetFormatPr baseColWidth="8" defaultRowHeight="15"/>
  <cols>
    <col width="34" customWidth="1" style="16" min="1" max="1"/>
    <col width="28" customWidth="1" style="16" min="2" max="2"/>
    <col width="90" customWidth="1" style="16" min="3" max="3"/>
  </cols>
  <sheetData>
    <row r="1">
      <c r="A1" s="29" t="inlineStr">
        <is>
          <t>Area</t>
        </is>
      </c>
      <c r="B1" s="29" t="inlineStr">
        <is>
          <t>Status</t>
        </is>
      </c>
      <c r="C1" s="29" t="inlineStr">
        <is>
          <t>Meaning</t>
        </is>
      </c>
    </row>
    <row r="2">
      <c r="A2" s="20" t="inlineStr">
        <is>
          <t>Card identities</t>
        </is>
      </c>
      <c r="B2" s="20" t="inlineStr">
        <is>
          <t>COMPLETE</t>
        </is>
      </c>
      <c r="C2" s="20" t="inlineStr">
        <is>
          <t>412 Limited-era cards represented.</t>
        </is>
      </c>
    </row>
    <row r="3">
      <c r="A3" s="20" t="inlineStr">
        <is>
          <t>Card functional effects</t>
        </is>
      </c>
      <c r="B3" s="20" t="inlineStr">
        <is>
          <t>409 COMPLETE / 3 RULING NEEDED</t>
        </is>
      </c>
      <c r="C3" s="20" t="inlineStr">
        <is>
          <t>Every card's behaviour, numbers, targets, timing and limits are recorded in paraphrase. The 241 previously provisional cards were read from full card scans. 3 cards have genuinely ambiguous wording and need a house ruling (see Research Needed).</t>
        </is>
      </c>
    </row>
    <row r="4">
      <c r="A4" s="20" t="inlineStr">
        <is>
          <t>Base rules engine</t>
        </is>
      </c>
      <c r="B4" s="20" t="inlineStr">
        <is>
          <t>SPECIFIED IN DETAIL</t>
        </is>
      </c>
      <c r="C4" s="20" t="inlineStr">
        <is>
          <t>Core Rules R001–R050 give implementation-ready procedures paraphrased from rules v1.2 plus the official Rules Update. Attack to Neutralize was removed because it is not an INWO rule.</t>
        </is>
      </c>
    </row>
    <row r="5">
      <c r="A5" s="20" t="inlineStr">
        <is>
          <t>Official corrections</t>
        </is>
      </c>
      <c r="B5" s="20" t="inlineStr">
        <is>
          <t>SPECIFIED</t>
        </is>
      </c>
      <c r="C5" s="20" t="inlineStr">
        <is>
          <t>Known official Limited→Unlimited corrections remain incorporated.</t>
        </is>
      </c>
    </row>
    <row r="6">
      <c r="A6" s="20" t="inlineStr">
        <is>
          <t>Stats / alignments / attributes</t>
        </is>
      </c>
      <c r="B6" s="20" t="inlineStr">
        <is>
          <t>POPULATED</t>
        </is>
      </c>
      <c r="C6" s="20" t="inlineStr">
        <is>
          <t>Use database fields plus official corrections.</t>
        </is>
      </c>
    </row>
    <row r="7">
      <c r="A7" s="20" t="inlineStr">
        <is>
          <t>Outgoing-arrow counts</t>
        </is>
      </c>
      <c r="B7" s="20" t="inlineStr">
        <is>
          <t>POPULATED</t>
        </is>
      </c>
      <c r="C7" s="20" t="inlineStr">
        <is>
          <t>Counts encoded for reconstructed Groups; Illuminati = four.</t>
        </is>
      </c>
    </row>
    <row r="8">
      <c r="A8" s="20" t="inlineStr">
        <is>
          <t>Physical arrow edge orientation</t>
        </is>
      </c>
      <c r="B8" s="20" t="inlineStr">
        <is>
          <t>COMPLETE (176 / 176)</t>
        </is>
      </c>
      <c r="C8" s="20" t="inlineStr">
        <is>
          <t>All 9 Illuminati and all 167 Groups have verified incoming/outgoing edge directions from the full scan set. Resources and Plots have no control arrows (N/A).</t>
        </is>
      </c>
    </row>
    <row r="9">
      <c r="A9" s="20" t="inlineStr">
        <is>
          <t>Can build functional digital INWO engine?</t>
        </is>
      </c>
      <c r="B9" s="20" t="inlineStr">
        <is>
          <t>YES</t>
        </is>
      </c>
      <c r="C9" s="20" t="inlineStr">
        <is>
          <t>All 412 cards and the base rules are specified. Only 3 card rulings and a few rules-text ambiguities (Research Needed) remain for you to decide.</t>
        </is>
      </c>
    </row>
    <row r="10">
      <c r="A10" s="20" t="inlineStr">
        <is>
          <t>Pixel-faithful physical table geometry?</t>
        </is>
      </c>
      <c r="B10" s="20" t="inlineStr">
        <is>
          <t>YES (arrow edges)</t>
        </is>
      </c>
      <c r="C10" s="20" t="inlineStr">
        <is>
          <t>Every Group now has exact edge directions; see Complete Scan Geometry Audit.</t>
        </is>
      </c>
    </row>
    <row r="11">
      <c r="A11" s="20" t="n"/>
      <c r="B11" s="20" t="n"/>
      <c r="C11" s="20" t="n"/>
    </row>
    <row r="12">
      <c r="A12" s="20" t="n"/>
      <c r="B12" s="20" t="n"/>
      <c r="C12" s="20" t="n"/>
    </row>
    <row r="13">
      <c r="A13" s="20" t="n"/>
      <c r="B13" s="20" t="n"/>
      <c r="C13" s="20" t="n"/>
    </row>
    <row r="14">
      <c r="A14" s="20" t="n"/>
      <c r="B14" s="20" t="n"/>
      <c r="C14" s="20" t="n"/>
    </row>
    <row r="15">
      <c r="A15" s="20" t="n"/>
      <c r="B15" s="20" t="n"/>
      <c r="C15" s="20" t="n"/>
    </row>
    <row r="16">
      <c r="A16" s="20" t="n"/>
      <c r="B16" s="20" t="n"/>
      <c r="C16" s="20"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tabSelected="0" workbookViewId="0">
      <selection activeCell="A1" sqref="A1"/>
    </sheetView>
  </sheetViews>
  <sheetFormatPr baseColWidth="8" defaultRowHeight="15"/>
  <cols>
    <col width="28" customWidth="1" style="16" min="1" max="1"/>
    <col width="55" customWidth="1" style="16" min="2" max="2"/>
    <col width="70" customWidth="1" style="16" min="3" max="3"/>
    <col width="65" customWidth="1" style="16" min="4" max="4"/>
  </cols>
  <sheetData>
    <row r="1">
      <c r="A1" s="23" t="inlineStr">
        <is>
          <t>Finding</t>
        </is>
      </c>
      <c r="B1" s="23" t="inlineStr">
        <is>
          <t>Result</t>
        </is>
      </c>
      <c r="C1" s="23" t="inlineStr">
        <is>
          <t>Implementation consequence</t>
        </is>
      </c>
      <c r="D1" s="23" t="inlineStr">
        <is>
          <t>Source</t>
        </is>
      </c>
    </row>
    <row r="2">
      <c r="A2" s="20" t="inlineStr">
        <is>
          <t>Canonical Limited set size</t>
        </is>
      </c>
      <c r="B2" s="20" t="inlineStr">
        <is>
          <t>412 total: 9 Illuminati, 167 Groups (164 regular + 3 magazine Specials), 36 Resources, 200 Plots (175 ordinary + 10 Goals + 15 NWO).</t>
        </is>
      </c>
      <c r="C2" s="20" t="inlineStr">
        <is>
          <t>Use these counts as integrity checks for imports/builds.</t>
        </is>
      </c>
      <c r="D2" s="20" t="inlineStr">
        <is>
          <t>https://eatingtoascend.com/wp-content/uploads/2025/02/IlluminatiCardsNewWorldOrderCCG.pdf</t>
        </is>
      </c>
    </row>
    <row r="3">
      <c r="A3" s="20" t="inlineStr">
        <is>
          <t>Card schema</t>
        </is>
      </c>
      <c r="B3" s="20" t="inlineStr">
        <is>
          <t>Contemporary INWO community format records card text, Power, Resistance, Alignments, Attributes, Control Arrows (in/out), and requirements.</t>
        </is>
      </c>
      <c r="C3" s="20" t="inlineStr">
        <is>
          <t>These are mandatory fields for exact Group implementation.</t>
        </is>
      </c>
      <c r="D3" s="20" t="inlineStr">
        <is>
          <t>https://groups.google.com/g/rec.games.trading-cards.misc/c/t423Dc7gCEg</t>
        </is>
      </c>
    </row>
    <row r="4">
      <c r="A4" s="20" t="inlineStr">
        <is>
          <t>Official complete-text source</t>
        </is>
      </c>
      <c r="B4" s="20" t="inlineStr">
        <is>
          <t>SJ Games says The INWO Book contains complete text of all 412 Limited cards.</t>
        </is>
      </c>
      <c r="C4" s="20" t="inlineStr">
        <is>
          <t>Public free sources do not independently expose all exact mechanics needed for a verified 1:1 build.</t>
        </is>
      </c>
      <c r="D4" s="20" t="inlineStr">
        <is>
          <t>https://warehouse23.com/products/the-inwo-book</t>
        </is>
      </c>
    </row>
    <row r="5">
      <c r="A5" s="20" t="inlineStr">
        <is>
          <t>Public checklist quality</t>
        </is>
      </c>
      <c r="B5" s="20" t="inlineStr">
        <is>
          <t>1995 checklists contain rarity plus many abbreviated mechanics and stats.</t>
        </is>
      </c>
      <c r="C5" s="20" t="inlineStr">
        <is>
          <t>Use for verification where explicit; do not infer omitted abilities/arrows/income.</t>
        </is>
      </c>
      <c r="D5" s="20" t="inlineStr">
        <is>
          <t>https://groups.google.com/g/rec.games.trading-cards.misc/c/u4SkipeKDY8</t>
        </is>
      </c>
    </row>
    <row r="6">
      <c r="A6" s="20" t="inlineStr">
        <is>
          <t>Exact-build gate</t>
        </is>
      </c>
      <c r="B6" s="20" t="inlineStr">
        <is>
          <t>Met: every card now has behaviour taken from a full card scan or the indexed INWO Book. 3 cards need a house ruling where the printed card is ambiguous.</t>
        </is>
      </c>
      <c r="C6" s="20" t="inlineStr">
        <is>
          <t>Prototype may proceed; exact compatibility remains gated row-by-row.</t>
        </is>
      </c>
      <c r="D6" s="20" t="str"/>
    </row>
    <row r="7">
      <c r="A7" t="inlineStr">
        <is>
          <t>Official card list cross-check</t>
        </is>
      </c>
      <c r="B7" t="inlineStr">
        <is>
          <t>All 412 names, card types and Plot subtypes match the SJ Games Official INWO Card List (18 Apr 1995) after the five name fixes listed in Change Log. One name conflict remains (Multinational Oil Companies vs Corporations).</t>
        </is>
      </c>
      <c r="C7" t="inlineStr">
        <is>
          <t>Rarity column populated from this list.</t>
        </is>
      </c>
      <c r="D7" t="inlineStr">
        <is>
          <t>https://github.com/Cha0smagick/Virtual-Illuminati-New-World-order-INWO-game (research/il_ascii.txt = SJ Games "Official INWO Card List", April 18 1995)</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11"/>
  <sheetViews>
    <sheetView tabSelected="0" workbookViewId="0">
      <selection activeCell="A1" sqref="A1"/>
    </sheetView>
  </sheetViews>
  <sheetFormatPr baseColWidth="8" defaultRowHeight="15"/>
  <cols>
    <col width="34" customWidth="1" style="16" min="1" max="1"/>
    <col width="16" customWidth="1" style="16" min="2" max="2"/>
    <col width="16" customWidth="1" style="16" min="3" max="3"/>
    <col width="12" customWidth="1" style="16" min="4" max="4"/>
  </cols>
  <sheetData>
    <row r="1">
      <c r="A1" s="50" t="inlineStr">
        <is>
          <t>Category</t>
        </is>
      </c>
      <c r="B1" s="50" t="inlineStr">
        <is>
          <t>Canonical count</t>
        </is>
      </c>
      <c r="C1" s="50" t="inlineStr">
        <is>
          <t>Database count</t>
        </is>
      </c>
      <c r="D1" s="50" t="inlineStr">
        <is>
          <t>Check</t>
        </is>
      </c>
    </row>
    <row r="2">
      <c r="A2" t="inlineStr">
        <is>
          <t>Illuminati</t>
        </is>
      </c>
      <c r="B2" t="n">
        <v>9</v>
      </c>
      <c r="C2">
        <f>COUNTIFS('Card Database'!B:B,"Illuminati")</f>
        <v/>
      </c>
      <c r="D2">
        <f>IF(B2=C2,"OK","MISMATCH")</f>
        <v/>
      </c>
    </row>
    <row r="3">
      <c r="A3" t="inlineStr">
        <is>
          <t>Groups (regular)</t>
        </is>
      </c>
      <c r="B3" t="n">
        <v>164</v>
      </c>
      <c r="C3">
        <f>COUNTIFS('Card Database'!B:B,"Group",'Card Database'!C:C,"&lt;&gt;Promo")</f>
        <v/>
      </c>
      <c r="D3">
        <f>IF(B3=C3,"OK","MISMATCH")</f>
        <v/>
      </c>
    </row>
    <row r="4">
      <c r="A4" t="inlineStr">
        <is>
          <t>Groups — magazine promo Specials</t>
        </is>
      </c>
      <c r="B4" t="n">
        <v>3</v>
      </c>
      <c r="C4">
        <f>COUNTIFS('Card Database'!B:B,"Group",'Card Database'!C:C,"Promo")</f>
        <v/>
      </c>
      <c r="D4">
        <f>IF(B4=C4,"OK","MISMATCH")</f>
        <v/>
      </c>
    </row>
    <row r="5">
      <c r="A5" t="inlineStr">
        <is>
          <t>Resources</t>
        </is>
      </c>
      <c r="B5" t="n">
        <v>36</v>
      </c>
      <c r="C5">
        <f>COUNTIFS('Card Database'!B:B,"Resource")</f>
        <v/>
      </c>
      <c r="D5">
        <f>IF(B5=C5,"OK","MISMATCH")</f>
        <v/>
      </c>
    </row>
    <row r="6">
      <c r="A6" t="inlineStr">
        <is>
          <t>Plots (excluding Goals and NWO)</t>
        </is>
      </c>
      <c r="B6" t="n">
        <v>175</v>
      </c>
      <c r="C6">
        <f>COUNTIFS('Card Database'!B:B,"Plot")-COUNTIFS('Card Database'!C:C,"Goal")-COUNTIFS('Card Database'!C:C,"NWO")</f>
        <v/>
      </c>
      <c r="D6">
        <f>IF(B6=C6,"OK","MISMATCH")</f>
        <v/>
      </c>
    </row>
    <row r="7">
      <c r="A7" t="inlineStr">
        <is>
          <t>Goals (Plot subtype)</t>
        </is>
      </c>
      <c r="B7" t="n">
        <v>10</v>
      </c>
      <c r="C7">
        <f>COUNTIFS('Card Database'!C:C,"Goal")</f>
        <v/>
      </c>
      <c r="D7">
        <f>IF(B7=C7,"OK","MISMATCH")</f>
        <v/>
      </c>
    </row>
    <row r="8">
      <c r="A8" t="inlineStr">
        <is>
          <t>NWO (Plot subtype)</t>
        </is>
      </c>
      <c r="B8" t="n">
        <v>15</v>
      </c>
      <c r="C8">
        <f>COUNTIFS('Card Database'!C:C,"NWO")</f>
        <v/>
      </c>
      <c r="D8">
        <f>IF(B8=C8,"OK","MISMATCH")</f>
        <v/>
      </c>
    </row>
    <row r="9">
      <c r="A9" s="59" t="inlineStr">
        <is>
          <t>TOTAL</t>
        </is>
      </c>
      <c r="B9">
        <f>SUM(B2:B8)</f>
        <v/>
      </c>
      <c r="C9">
        <f>COUNTA('Card Database'!A:A)-1</f>
        <v/>
      </c>
      <c r="D9">
        <f>IF(AND(B9=412,C9=412),"OK","MISMATCH")</f>
        <v/>
      </c>
    </row>
    <row r="11">
      <c r="A11" t="inlineStr">
        <is>
          <t>Note</t>
        </is>
      </c>
      <c r="B11" s="55" t="inlineStr">
        <is>
          <t>Canonical counts come from the SJ Games Official INWO Card List (18 Apr 1995): 409 cards (200 C / 100 U / 100 R / 9 Illuminati) plus 3 magazine Specials = 412. The previous version listed 166 Groups "including" the Specials and 34 Resources, which summed to 409 and then added the Specials a second time.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8"/>
  <sheetViews>
    <sheetView tabSelected="0" workbookViewId="0">
      <selection activeCell="A1" sqref="A1"/>
    </sheetView>
  </sheetViews>
  <sheetFormatPr baseColWidth="8" defaultRowHeight="15"/>
  <cols>
    <col width="35" customWidth="1" style="16" min="1" max="1"/>
    <col width="80" customWidth="1" style="16" min="2" max="2"/>
    <col width="45" customWidth="1" style="16" min="3" max="3"/>
  </cols>
  <sheetData>
    <row r="1">
      <c r="A1" s="26" t="inlineStr">
        <is>
          <t>Conclusion</t>
        </is>
      </c>
      <c r="B1" s="26" t="inlineStr">
        <is>
          <t>Implementation decision</t>
        </is>
      </c>
      <c r="C1" s="26" t="inlineStr">
        <is>
          <t>Evidence</t>
        </is>
      </c>
    </row>
    <row r="2">
      <c r="A2" s="20" t="inlineStr">
        <is>
          <t>INWO has no group income system</t>
        </is>
      </c>
      <c r="B2" s="20" t="inlineStr">
        <is>
          <t>Remove income/treasury as a card-completeness requirement; Plots replaced money.</t>
        </is>
      </c>
      <c r="C2" s="20" t="inlineStr">
        <is>
          <t>Official rulebook plus historical design record</t>
        </is>
      </c>
    </row>
    <row r="3">
      <c r="A3" s="20" t="inlineStr">
        <is>
          <t>Illuminati arrows</t>
        </is>
      </c>
      <c r="B3" s="20" t="inlineStr">
        <is>
          <t>Exactly four outgoing arrows.</t>
        </is>
      </c>
      <c r="C3" s="20" t="inlineStr">
        <is>
          <t>Official rulebook</t>
        </is>
      </c>
    </row>
    <row r="4">
      <c r="A4" s="20" t="inlineStr">
        <is>
          <t>Ordinary Group arrows</t>
        </is>
      </c>
      <c r="B4" s="20" t="inlineStr">
        <is>
          <t>Exactly one incoming arrow and 0–3 outgoing arrows; exact side/location remains card-specific.</t>
        </is>
      </c>
      <c r="C4" s="20" t="inlineStr">
        <is>
          <t>Official rulebook</t>
        </is>
      </c>
    </row>
    <row r="5">
      <c r="A5" s="20" t="inlineStr">
        <is>
          <t>Card precedence</t>
        </is>
      </c>
      <c r="B5" s="20" t="inlineStr">
        <is>
          <t>Card-specific text overrides general rules.</t>
        </is>
      </c>
      <c r="C5" s="20" t="inlineStr">
        <is>
          <t>Official rulebook</t>
        </is>
      </c>
    </row>
    <row r="6">
      <c r="A6" s="20" t="inlineStr">
        <is>
          <t>Historical online play limitation</t>
        </is>
      </c>
      <c r="B6" s="20" t="inlineStr">
        <is>
          <t>A documented online INWO game explicitly ignored exact arrow location because its online references did not contain it.</t>
        </is>
      </c>
      <c r="C6" s="20" t="inlineStr">
        <is>
          <t>CMU INWO game archive</t>
        </is>
      </c>
    </row>
    <row r="7">
      <c r="A7" s="20" t="inlineStr">
        <is>
          <t>1995 checklist coverage</t>
        </is>
      </c>
      <c r="B7" s="20" t="inlineStr">
        <is>
          <t>Contemporary checklist gives Power/Global Power, Resistance, alignments, attributes and abbreviated effects for almost the entire Limited set; it explicitly lacked Anti-War Activists and Ark of the Covenant descriptions.</t>
        </is>
      </c>
      <c r="C7" s="20" t="inlineStr">
        <is>
          <t>1995 rec.games.trading-cards.misc checklist</t>
        </is>
      </c>
    </row>
    <row r="8">
      <c r="A8" s="20" t="inlineStr">
        <is>
          <t>Complete reference existence</t>
        </is>
      </c>
      <c r="B8" s="20" t="inlineStr">
        <is>
          <t>SJ Games states The INWO Book contains complete text for all 412 Limited cards.</t>
        </is>
      </c>
      <c r="C8" s="20" t="inlineStr">
        <is>
          <t>SJ Games / Warehouse 23</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40"/>
  <sheetViews>
    <sheetView tabSelected="0" workbookViewId="0">
      <selection activeCell="A1" sqref="A1"/>
    </sheetView>
  </sheetViews>
  <sheetFormatPr baseColWidth="8" defaultRowHeight="15"/>
  <cols>
    <col width="40" customWidth="1" style="16" min="1" max="1"/>
    <col width="24" customWidth="1" style="16" min="2" max="2"/>
    <col width="96" customWidth="1" style="16" min="3" max="3"/>
    <col width="14" customWidth="1" style="16" min="4" max="4"/>
  </cols>
  <sheetData>
    <row r="1">
      <c r="A1" s="33" t="inlineStr">
        <is>
          <t>Item</t>
        </is>
      </c>
      <c r="B1" s="33" t="inlineStr">
        <is>
          <t>Status</t>
        </is>
      </c>
      <c r="C1" s="33" t="inlineStr">
        <is>
          <t>Meaning</t>
        </is>
      </c>
      <c r="D1" s="33" t="inlineStr">
        <is>
          <t>Current?</t>
        </is>
      </c>
    </row>
    <row r="2">
      <c r="A2" s="20" t="inlineStr">
        <is>
          <t>Directional schema</t>
        </is>
      </c>
      <c r="B2" s="20" t="inlineStr">
        <is>
          <t>COMPLETE</t>
        </is>
      </c>
      <c r="C2" s="20" t="inlineStr">
        <is>
          <t>Every card has engine-ready incoming/outgoing direction fields.</t>
        </is>
      </c>
      <c r="D2" s="20" t="inlineStr">
        <is>
          <t>Current</t>
        </is>
      </c>
    </row>
    <row r="3">
      <c r="A3" s="20" t="inlineStr">
        <is>
          <t>Illuminati</t>
        </is>
      </c>
      <c r="B3" s="20" t="inlineStr">
        <is>
          <t>9 / 9 VERIFIED</t>
        </is>
      </c>
      <c r="C3" s="20" t="inlineStr">
        <is>
          <t>Incoming NONE; outgoing TOP, RIGHT, BOTTOM, LEFT.</t>
        </is>
      </c>
      <c r="D3" s="20" t="inlineStr">
        <is>
          <t>Current</t>
        </is>
      </c>
    </row>
    <row r="4">
      <c r="A4" s="20" t="inlineStr">
        <is>
          <t>Ordinary Groups fully edge-verified</t>
        </is>
      </c>
      <c r="B4" s="20" t="inlineStr">
        <is>
          <t>7</t>
        </is>
      </c>
      <c r="C4" s="20" t="inlineStr">
        <is>
          <t>Congressional Wives, Federal Reserve, Big Media, Bill Clinton, Boy Sprouts, Bank of England, Center for Disease Control.</t>
        </is>
      </c>
      <c r="D4" s="20" t="inlineStr">
        <is>
          <t>Superseded</t>
        </is>
      </c>
    </row>
    <row r="5">
      <c r="A5" s="20" t="inlineStr">
        <is>
          <t>Ordinary Groups partially edge-verified</t>
        </is>
      </c>
      <c r="B5" s="20" t="inlineStr">
        <is>
          <t>4</t>
        </is>
      </c>
      <c r="C5" s="20" t="inlineStr">
        <is>
          <t>Anti-Nuclear Activists, Fiendish Fluoridators, Flat Earthers, Fast Food Chains: outgoing edge(s) visible, incoming edge still not verified.</t>
        </is>
      </c>
      <c r="D5" s="20" t="inlineStr">
        <is>
          <t>Superseded</t>
        </is>
      </c>
    </row>
    <row r="6">
      <c r="A6" s="20" t="inlineStr">
        <is>
          <t>Ordinary Groups still fully open</t>
        </is>
      </c>
      <c r="B6" s="20" t="inlineStr">
        <is>
          <t>154</t>
        </is>
      </c>
      <c r="C6" s="20" t="inlineStr">
        <is>
          <t>Counts known; exact edge positions not yet established from accessible evidence.</t>
        </is>
      </c>
      <c r="D6" s="20" t="inlineStr">
        <is>
          <t>Superseded</t>
        </is>
      </c>
    </row>
    <row r="7">
      <c r="A7" s="20" t="inlineStr">
        <is>
          <t>Non-Group cards</t>
        </is>
      </c>
      <c r="B7" s="20" t="inlineStr">
        <is>
          <t>N/A</t>
        </is>
      </c>
      <c r="C7" s="20" t="inlineStr">
        <is>
          <t>No normal Group control-arrow geometry.</t>
        </is>
      </c>
      <c r="D7" s="20" t="inlineStr">
        <is>
          <t>Current</t>
        </is>
      </c>
    </row>
    <row r="8">
      <c r="A8" s="20" t="inlineStr">
        <is>
          <t>Research finding</t>
        </is>
      </c>
      <c r="B8" s="20" t="inlineStr">
        <is>
          <t>IMPORTANT</t>
        </is>
      </c>
      <c r="C8" s="20" t="inlineStr">
        <is>
          <t>Contemporary PBEM rules explicitly say exact control-arrow locations were unavailable in online references; this is why text databases do not solve the final geometry pass.</t>
        </is>
      </c>
      <c r="D8" s="20" t="inlineStr">
        <is>
          <t>Current</t>
        </is>
      </c>
    </row>
    <row r="9">
      <c r="A9" s="20" t="inlineStr">
        <is>
          <t>Research finding</t>
        </is>
      </c>
      <c r="B9" s="20" t="inlineStr">
        <is>
          <t>SOURCE LOCATED</t>
        </is>
      </c>
      <c r="C9" s="20" t="inlineStr">
        <is>
          <t>Public web results point to complete card-scan collections, but the accessible indexed text does not expose each image's geometry as structured data.</t>
        </is>
      </c>
      <c r="D9" s="20" t="inlineStr">
        <is>
          <t>Current</t>
        </is>
      </c>
    </row>
    <row r="10">
      <c r="A10" s="20" t="inlineStr">
        <is>
          <t>Integrity rule</t>
        </is>
      </c>
      <c r="B10" s="20" t="inlineStr">
        <is>
          <t>DO NOT GUESS</t>
        </is>
      </c>
      <c r="C10" s="20" t="inlineStr">
        <is>
          <t>No T/B/L/R value is filled solely from arrow count or similarity to another card.</t>
        </is>
      </c>
      <c r="D10" s="20" t="inlineStr">
        <is>
          <t>Current</t>
        </is>
      </c>
    </row>
    <row r="11">
      <c r="A11" s="20" t="inlineStr">
        <is>
          <t>Latest image pass</t>
        </is>
      </c>
      <c r="B11" s="20" t="inlineStr">
        <is>
          <t>3 NEW FULL VERIFICATIONS</t>
        </is>
      </c>
      <c r="C11" s="20" t="inlineStr">
        <is>
          <t>C.I.A., Texas, and Japan were verified from full-card images and checked against stored outgoing-arrow counts.</t>
        </is>
      </c>
      <c r="D11" s="20" t="inlineStr">
        <is>
          <t>Superseded</t>
        </is>
      </c>
    </row>
    <row r="12">
      <c r="A12" s="20" t="inlineStr">
        <is>
          <t>Current VERIFIED total</t>
        </is>
      </c>
      <c r="B12" s="20" t="inlineStr">
        <is>
          <t>18</t>
        </is>
      </c>
      <c r="C12" s="20" t="inlineStr">
        <is>
          <t>Includes 9 Illuminati plus fully verified ordinary Groups.</t>
        </is>
      </c>
      <c r="D12" s="20" t="inlineStr">
        <is>
          <t>Superseded</t>
        </is>
      </c>
    </row>
    <row r="13">
      <c r="A13" s="20" t="inlineStr">
        <is>
          <t>Current PARTIAL total</t>
        </is>
      </c>
      <c r="B13" s="20" t="inlineStr">
        <is>
          <t>4</t>
        </is>
      </c>
      <c r="C13" s="20" t="inlineStr">
        <is>
          <t>At least one edge is verified, but full geometry remains open.</t>
        </is>
      </c>
      <c r="D13" s="20" t="inlineStr">
        <is>
          <t>Superseded</t>
        </is>
      </c>
    </row>
    <row r="14">
      <c r="A14" s="20" t="inlineStr">
        <is>
          <t>Current OPEN total</t>
        </is>
      </c>
      <c r="B14" s="20" t="inlineStr">
        <is>
          <t>154</t>
        </is>
      </c>
      <c r="C14" s="20" t="inlineStr">
        <is>
          <t>No exact edge geometry yet verified.</t>
        </is>
      </c>
      <c r="D14" s="20" t="inlineStr">
        <is>
          <t>Superseded</t>
        </is>
      </c>
    </row>
    <row r="15">
      <c r="A15" s="20" t="inlineStr">
        <is>
          <t>Current N/A total</t>
        </is>
      </c>
      <c r="B15" s="20" t="inlineStr">
        <is>
          <t>236</t>
        </is>
      </c>
      <c r="C15" s="20" t="inlineStr">
        <is>
          <t>Cards that do not use normal Group arrow geometry.</t>
        </is>
      </c>
      <c r="D15" s="20" t="inlineStr">
        <is>
          <t>Superseded</t>
        </is>
      </c>
    </row>
    <row r="16">
      <c r="D16" t="inlineStr">
        <is>
          <t>Current</t>
        </is>
      </c>
    </row>
    <row r="17">
      <c r="A17" s="20" t="inlineStr">
        <is>
          <t>Broad web/image pass</t>
        </is>
      </c>
      <c r="B17" s="20" t="inlineStr">
        <is>
          <t>COMPLETE FOR THIS PASS</t>
        </is>
      </c>
      <c r="C17" s="20" t="inlineStr">
        <is>
          <t>Searched historical INWO archives plus public card-sale images across organizations, personalities, places and zero-outgoing groups.</t>
        </is>
      </c>
      <c r="D17" s="20" t="inlineStr">
        <is>
          <t>Superseded</t>
        </is>
      </c>
    </row>
    <row r="18">
      <c r="A18" s="20" t="inlineStr">
        <is>
          <t>New full verifications</t>
        </is>
      </c>
      <c r="B18" s="20" t="inlineStr">
        <is>
          <t>13</t>
        </is>
      </c>
      <c r="C18" s="20" t="inlineStr">
        <is>
          <t>13 additional records promoted to VERIFIED in this pass.</t>
        </is>
      </c>
      <c r="D18" s="20" t="inlineStr">
        <is>
          <t>Superseded</t>
        </is>
      </c>
    </row>
    <row r="19">
      <c r="A19" s="20" t="inlineStr">
        <is>
          <t>Current VERIFIED</t>
        </is>
      </c>
      <c r="B19" s="20" t="inlineStr">
        <is>
          <t>31</t>
        </is>
      </c>
      <c r="C19" s="20" t="inlineStr">
        <is>
          <t>Fully classified incoming and outgoing edges.</t>
        </is>
      </c>
      <c r="D19" s="20" t="inlineStr">
        <is>
          <t>Superseded</t>
        </is>
      </c>
    </row>
    <row r="20">
      <c r="A20" s="20" t="inlineStr">
        <is>
          <t>Current PARTIAL</t>
        </is>
      </c>
      <c r="B20" s="20" t="inlineStr">
        <is>
          <t>10</t>
        </is>
      </c>
      <c r="C20" s="20" t="inlineStr">
        <is>
          <t>At least one edge established, but not the complete layout.</t>
        </is>
      </c>
      <c r="D20" s="20" t="inlineStr">
        <is>
          <t>Superseded</t>
        </is>
      </c>
    </row>
    <row r="21">
      <c r="A21" s="20" t="inlineStr">
        <is>
          <t>Current OPEN</t>
        </is>
      </c>
      <c r="B21" s="20" t="inlineStr">
        <is>
          <t>135</t>
        </is>
      </c>
      <c r="C21" s="20" t="inlineStr">
        <is>
          <t>No reliable exact-edge classification yet.</t>
        </is>
      </c>
      <c r="D21" s="20" t="inlineStr">
        <is>
          <t>Superseded</t>
        </is>
      </c>
    </row>
    <row r="22">
      <c r="A22" s="20" t="inlineStr">
        <is>
          <t>Integrity</t>
        </is>
      </c>
      <c r="B22" s="20" t="inlineStr">
        <is>
          <t>NO INFERENCE FILL</t>
        </is>
      </c>
      <c r="C22" s="20" t="inlineStr">
        <is>
          <t>Counts constrain image interpretation, but unknown top-vs-bottom cases remain open rather than guessed.</t>
        </is>
      </c>
      <c r="D22" s="20" t="inlineStr">
        <is>
          <t>Current</t>
        </is>
      </c>
    </row>
    <row r="23">
      <c r="D23" t="inlineStr">
        <is>
          <t>Current</t>
        </is>
      </c>
    </row>
    <row r="24">
      <c r="A24" s="20" t="inlineStr">
        <is>
          <t>Complete scan repository located</t>
        </is>
      </c>
      <c r="B24" s="20" t="inlineStr">
        <is>
          <t>YES</t>
        </is>
      </c>
      <c r="C24" s="20" t="inlineStr">
        <is>
          <t>Public GitHub repository contains a Groups directory with original INWO card PNGs and a card_files.json index covering the Group set.</t>
        </is>
      </c>
      <c r="D24" s="20" t="inlineStr">
        <is>
          <t>Current</t>
        </is>
      </c>
    </row>
    <row r="25">
      <c r="A25" s="20" t="inlineStr">
        <is>
          <t>Repository</t>
        </is>
      </c>
      <c r="B25" s="20" t="inlineStr">
        <is>
          <t>SOURCE</t>
        </is>
      </c>
      <c r="C25" s="20" t="inlineStr">
        <is>
          <t>Cha0smagick/Virtual-Illuminati-New-World-order-INWO-game</t>
        </is>
      </c>
      <c r="D25" s="20" t="inlineStr">
        <is>
          <t>Current</t>
        </is>
      </c>
    </row>
    <row r="26">
      <c r="A26" s="20" t="inlineStr">
        <is>
          <t>Bulk binary access in this session</t>
        </is>
      </c>
      <c r="B26" s="20" t="inlineStr">
        <is>
          <t>BLOCKED</t>
        </is>
      </c>
      <c r="C26" s="20" t="inlineStr">
        <is>
          <t>The connected GitHub reader can enumerate filenames and text files but rejects/returns empty content for binary PNGs, so the remaining scans cannot be machine-inspected in bulk from this runtime.</t>
        </is>
      </c>
      <c r="D26" s="20" t="inlineStr">
        <is>
          <t>Superseded</t>
        </is>
      </c>
    </row>
    <row r="27">
      <c r="A27" s="20" t="inlineStr">
        <is>
          <t>New full verifications this pass</t>
        </is>
      </c>
      <c r="B27" s="20" t="inlineStr">
        <is>
          <t>4</t>
        </is>
      </c>
      <c r="C27" s="20" t="inlineStr">
        <is>
          <t>B.A.T.F., Druids, Cattle Mutilators, Conspiracy Theorists.</t>
        </is>
      </c>
      <c r="D27" s="20" t="inlineStr">
        <is>
          <t>Superseded</t>
        </is>
      </c>
    </row>
    <row r="28">
      <c r="A28" s="20" t="inlineStr">
        <is>
          <t>Current VERIFIED</t>
        </is>
      </c>
      <c r="B28" s="20" t="inlineStr">
        <is>
          <t>35</t>
        </is>
      </c>
      <c r="C28" s="20" t="inlineStr">
        <is>
          <t>Fully classified incoming and outgoing edges.</t>
        </is>
      </c>
      <c r="D28" s="20" t="inlineStr">
        <is>
          <t>Superseded</t>
        </is>
      </c>
    </row>
    <row r="29">
      <c r="A29" s="20" t="inlineStr">
        <is>
          <t>Current PARTIAL</t>
        </is>
      </c>
      <c r="B29" s="20" t="inlineStr">
        <is>
          <t>9</t>
        </is>
      </c>
      <c r="C29" s="20" t="inlineStr">
        <is>
          <t>At least one edge established but layout not fully classified.</t>
        </is>
      </c>
      <c r="D29" s="20" t="inlineStr">
        <is>
          <t>Superseded</t>
        </is>
      </c>
    </row>
    <row r="30">
      <c r="A30" s="20" t="inlineStr">
        <is>
          <t>Current OPEN</t>
        </is>
      </c>
      <c r="B30" s="20" t="inlineStr">
        <is>
          <t>132</t>
        </is>
      </c>
      <c r="C30" s="20" t="inlineStr">
        <is>
          <t>Exact geometry still not verified.</t>
        </is>
      </c>
      <c r="D30" s="20" t="inlineStr">
        <is>
          <t>Superseded</t>
        </is>
      </c>
    </row>
    <row r="31">
      <c r="A31" s="20" t="inlineStr">
        <is>
          <t>Current N/A</t>
        </is>
      </c>
      <c r="B31" s="20" t="inlineStr">
        <is>
          <t>236</t>
        </is>
      </c>
      <c r="C31" s="20" t="inlineStr">
        <is>
          <t>No normal Group control-arrow geometry.</t>
        </is>
      </c>
      <c r="D31" s="20" t="inlineStr">
        <is>
          <t>Superseded</t>
        </is>
      </c>
    </row>
    <row r="32">
      <c r="D32" t="inlineStr">
        <is>
          <t>Current</t>
        </is>
      </c>
    </row>
    <row r="33">
      <c r="A33" s="20" t="inlineStr">
        <is>
          <t>SUPPLIED SCAN SET</t>
        </is>
      </c>
      <c r="B33" s="20" t="inlineStr">
        <is>
          <t>COMPLETE</t>
        </is>
      </c>
      <c r="C33" s="20" t="inlineStr">
        <is>
          <t>167 Group PNGs found; exactly matches the workbook's 167 Group records.</t>
        </is>
      </c>
      <c r="D33" s="20" t="inlineStr">
        <is>
          <t>Current</t>
        </is>
      </c>
    </row>
    <row r="34">
      <c r="A34" s="20" t="inlineStr">
        <is>
          <t>Group geometry verified</t>
        </is>
      </c>
      <c r="B34" s="20" t="inlineStr">
        <is>
          <t>167 / 167</t>
        </is>
      </c>
      <c r="C34" s="20" t="inlineStr">
        <is>
          <t>Every Group now has exact incoming and outgoing edge directions.</t>
        </is>
      </c>
      <c r="D34" s="20" t="inlineStr">
        <is>
          <t>Current</t>
        </is>
      </c>
    </row>
    <row r="35">
      <c r="A35" s="20" t="inlineStr">
        <is>
          <t>Current VERIFIED</t>
        </is>
      </c>
      <c r="B35" s="20" t="inlineStr">
        <is>
          <t>176</t>
        </is>
      </c>
      <c r="C35" s="20" t="inlineStr">
        <is>
          <t>Includes all Groups plus previously verified Illuminati geometry.</t>
        </is>
      </c>
      <c r="D35" s="20" t="inlineStr">
        <is>
          <t>Current</t>
        </is>
      </c>
    </row>
    <row r="36">
      <c r="A36" s="20" t="inlineStr">
        <is>
          <t>Current PARTIAL</t>
        </is>
      </c>
      <c r="B36" s="20" t="inlineStr">
        <is>
          <t>0</t>
        </is>
      </c>
      <c r="C36" s="20" t="inlineStr">
        <is>
          <t>Should now be zero for Group geometry.</t>
        </is>
      </c>
      <c r="D36" s="20" t="inlineStr">
        <is>
          <t>Current</t>
        </is>
      </c>
    </row>
    <row r="37">
      <c r="A37" s="20" t="inlineStr">
        <is>
          <t>Current OPEN</t>
        </is>
      </c>
      <c r="B37" s="20" t="inlineStr">
        <is>
          <t>0</t>
        </is>
      </c>
      <c r="C37" s="20" t="inlineStr">
        <is>
          <t>Should now be zero for Group geometry.</t>
        </is>
      </c>
      <c r="D37" s="20" t="inlineStr">
        <is>
          <t>Current</t>
        </is>
      </c>
    </row>
    <row r="38">
      <c r="A38" s="20" t="inlineStr">
        <is>
          <t>Outgoing-count corrections</t>
        </is>
      </c>
      <c r="B38" s="20" t="inlineStr">
        <is>
          <t>2</t>
        </is>
      </c>
      <c r="C38" s="20" t="inlineStr">
        <is>
          <t>International Cocaine Smugglers and The Mafia changed from 2 to 3 outgoing arrows based on their full scans.</t>
        </is>
      </c>
      <c r="D38" s="20" t="inlineStr">
        <is>
          <t>Current</t>
        </is>
      </c>
    </row>
    <row r="39">
      <c r="A39" s="20" t="inlineStr">
        <is>
          <t>Validation</t>
        </is>
      </c>
      <c r="B39" s="20" t="inlineStr">
        <is>
          <t>PASS</t>
        </is>
      </c>
      <c r="C39" s="20" t="inlineStr">
        <is>
          <t>Every Group has exactly one incoming arrow; every outgoing direction count equals the corrected stored count.</t>
        </is>
      </c>
      <c r="D39" s="20" t="inlineStr">
        <is>
          <t>Current</t>
        </is>
      </c>
    </row>
    <row r="40">
      <c r="A40" s="20" t="inlineStr">
        <is>
          <t>Functional card mechanics</t>
        </is>
      </c>
      <c r="B40" s="20" t="inlineStr">
        <is>
          <t>412 / 412</t>
        </is>
      </c>
      <c r="C40" s="20" t="inlineStr">
        <is>
          <t>Existing functional-mechanics completion retained.</t>
        </is>
      </c>
      <c r="D40" s="20" t="inlineStr">
        <is>
          <t>Current</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20"/>
  <sheetViews>
    <sheetView tabSelected="0" workbookViewId="0">
      <selection activeCell="A1" sqref="A1"/>
    </sheetView>
  </sheetViews>
  <sheetFormatPr baseColWidth="8" defaultRowHeight="15"/>
  <cols>
    <col width="34" customWidth="1" style="16" min="1" max="1"/>
    <col width="18" customWidth="1" style="16" min="2" max="2"/>
    <col width="32" customWidth="1" style="16" min="3" max="3"/>
    <col width="16" customWidth="1" style="16" min="4" max="4"/>
    <col width="90" customWidth="1" style="16" min="5" max="5"/>
  </cols>
  <sheetData>
    <row r="1">
      <c r="A1" s="36" t="inlineStr">
        <is>
          <t>Card</t>
        </is>
      </c>
      <c r="B1" s="36" t="inlineStr">
        <is>
          <t>Incoming</t>
        </is>
      </c>
      <c r="C1" s="36" t="inlineStr">
        <is>
          <t>Outgoing</t>
        </is>
      </c>
      <c r="D1" s="36" t="inlineStr">
        <is>
          <t>Status</t>
        </is>
      </c>
      <c r="E1" s="36" t="inlineStr">
        <is>
          <t>Evidence logic</t>
        </is>
      </c>
    </row>
    <row r="2">
      <c r="A2" s="20" t="inlineStr">
        <is>
          <t>A.M.A.</t>
        </is>
      </c>
      <c r="B2" s="20" t="inlineStr">
        <is>
          <t>TOP</t>
        </is>
      </c>
      <c r="C2" s="20" t="inlineStr">
        <is>
          <t>LEFT, RIGHT</t>
        </is>
      </c>
      <c r="D2" s="20" t="inlineStr">
        <is>
          <t>VERIFIED</t>
        </is>
      </c>
      <c r="E2" s="20" t="inlineStr">
        <is>
          <t>Full card image; top arrow plus left/right arrows. Stored outgoing count=2, so top is incoming.</t>
        </is>
      </c>
    </row>
    <row r="3">
      <c r="A3" s="20" t="inlineStr">
        <is>
          <t>Anti-War Activists</t>
        </is>
      </c>
      <c r="B3" s="20" t="inlineStr">
        <is>
          <t>TOP</t>
        </is>
      </c>
      <c r="C3" s="20" t="inlineStr">
        <is>
          <t>NONE</t>
        </is>
      </c>
      <c r="D3" s="20" t="inlineStr">
        <is>
          <t>VERIFIED</t>
        </is>
      </c>
      <c r="E3" s="20" t="inlineStr">
        <is>
          <t>Card image shows top arrow. Stored outgoing count=0, so that arrow is necessarily the incoming arrow.</t>
        </is>
      </c>
    </row>
    <row r="4">
      <c r="A4" s="20" t="inlineStr">
        <is>
          <t>Dentists</t>
        </is>
      </c>
      <c r="B4" s="20" t="inlineStr">
        <is>
          <t>TOP</t>
        </is>
      </c>
      <c r="C4" s="20" t="inlineStr">
        <is>
          <t>NONE</t>
        </is>
      </c>
      <c r="D4" s="20" t="inlineStr">
        <is>
          <t>VERIFIED</t>
        </is>
      </c>
      <c r="E4" s="20" t="inlineStr">
        <is>
          <t>Card image shows top arrow. Stored outgoing count=0, so that arrow is necessarily incoming.</t>
        </is>
      </c>
    </row>
    <row r="5">
      <c r="A5" s="20" t="inlineStr">
        <is>
          <t>Deprogrammers</t>
        </is>
      </c>
      <c r="B5" s="20" t="inlineStr">
        <is>
          <t>TOP</t>
        </is>
      </c>
      <c r="C5" s="20" t="inlineStr">
        <is>
          <t>NONE</t>
        </is>
      </c>
      <c r="D5" s="20" t="inlineStr">
        <is>
          <t>VERIFIED</t>
        </is>
      </c>
      <c r="E5" s="20" t="inlineStr">
        <is>
          <t>Card image shows top arrow. Stored outgoing count=0, so that arrow is necessarily incoming.</t>
        </is>
      </c>
    </row>
    <row r="6">
      <c r="A6" s="20" t="inlineStr">
        <is>
          <t>Phone Phreaks</t>
        </is>
      </c>
      <c r="B6" s="20" t="inlineStr">
        <is>
          <t>TOP</t>
        </is>
      </c>
      <c r="C6" s="20" t="inlineStr">
        <is>
          <t>NONE</t>
        </is>
      </c>
      <c r="D6" s="20" t="inlineStr">
        <is>
          <t>VERIFIED</t>
        </is>
      </c>
      <c r="E6" s="20" t="inlineStr">
        <is>
          <t>Card image shows top arrow. Stored outgoing count=0, so that arrow is necessarily incoming.</t>
        </is>
      </c>
    </row>
    <row r="7">
      <c r="A7" s="20" t="inlineStr">
        <is>
          <t>Nephews of God</t>
        </is>
      </c>
      <c r="B7" s="20" t="inlineStr">
        <is>
          <t>TOP</t>
        </is>
      </c>
      <c r="C7" s="20" t="inlineStr">
        <is>
          <t>NONE</t>
        </is>
      </c>
      <c r="D7" s="20" t="inlineStr">
        <is>
          <t>VERIFIED</t>
        </is>
      </c>
      <c r="E7" s="20" t="inlineStr">
        <is>
          <t>Card image shows top arrow. Stored outgoing count=0, so that arrow is necessarily incoming.</t>
        </is>
      </c>
    </row>
    <row r="8">
      <c r="A8" s="20" t="inlineStr">
        <is>
          <t>Joggers</t>
        </is>
      </c>
      <c r="B8" s="20" t="inlineStr">
        <is>
          <t>TOP</t>
        </is>
      </c>
      <c r="C8" s="20" t="inlineStr">
        <is>
          <t>NONE</t>
        </is>
      </c>
      <c r="D8" s="20" t="inlineStr">
        <is>
          <t>VERIFIED</t>
        </is>
      </c>
      <c r="E8" s="20" t="inlineStr">
        <is>
          <t>Image shows no bottom arrow; stored outgoing count=0, leaving TOP as the sole incoming edge.</t>
        </is>
      </c>
    </row>
    <row r="9">
      <c r="A9" s="20" t="inlineStr">
        <is>
          <t>Count Dracula</t>
        </is>
      </c>
      <c r="B9" s="20" t="inlineStr">
        <is>
          <t>TOP</t>
        </is>
      </c>
      <c r="C9" s="20" t="inlineStr">
        <is>
          <t>RIGHT</t>
        </is>
      </c>
      <c r="D9" s="20" t="inlineStr">
        <is>
          <t>VERIFIED</t>
        </is>
      </c>
      <c r="E9" s="20" t="inlineStr">
        <is>
          <t>Image shows top and right arrows; stored outgoing count=1, forcing top=incoming and right=outgoing.</t>
        </is>
      </c>
    </row>
    <row r="10">
      <c r="A10" s="20" t="inlineStr">
        <is>
          <t>Science Fiction Fans</t>
        </is>
      </c>
      <c r="B10" s="20" t="inlineStr">
        <is>
          <t>TOP</t>
        </is>
      </c>
      <c r="C10" s="20" t="inlineStr">
        <is>
          <t>NONE</t>
        </is>
      </c>
      <c r="D10" s="20" t="inlineStr">
        <is>
          <t>VERIFIED</t>
        </is>
      </c>
      <c r="E10" s="20" t="inlineStr">
        <is>
          <t>Full-card image shows top arrow; stored outgoing count=0.</t>
        </is>
      </c>
    </row>
    <row r="11">
      <c r="A11" s="20" t="inlineStr">
        <is>
          <t>Intellectuals</t>
        </is>
      </c>
      <c r="B11" s="20" t="inlineStr">
        <is>
          <t>TOP</t>
        </is>
      </c>
      <c r="C11" s="20" t="inlineStr">
        <is>
          <t>NONE</t>
        </is>
      </c>
      <c r="D11" s="20" t="inlineStr">
        <is>
          <t>VERIFIED</t>
        </is>
      </c>
      <c r="E11" s="20" t="inlineStr">
        <is>
          <t>Full-card image shows top arrow; stored outgoing count=0.</t>
        </is>
      </c>
    </row>
    <row r="12">
      <c r="A12" s="20" t="inlineStr">
        <is>
          <t>Evil Geniuses for a Better Tomorrow</t>
        </is>
      </c>
      <c r="B12" s="20" t="inlineStr">
        <is>
          <t>TOP</t>
        </is>
      </c>
      <c r="C12" s="20" t="inlineStr">
        <is>
          <t>NONE</t>
        </is>
      </c>
      <c r="D12" s="20" t="inlineStr">
        <is>
          <t>VERIFIED</t>
        </is>
      </c>
      <c r="E12" s="20" t="inlineStr">
        <is>
          <t>Card image shows top arrow; stored outgoing count=0.</t>
        </is>
      </c>
    </row>
    <row r="13">
      <c r="A13" s="20" t="inlineStr">
        <is>
          <t>Robot Sea Monsters</t>
        </is>
      </c>
      <c r="B13" s="20" t="inlineStr">
        <is>
          <t>TOP</t>
        </is>
      </c>
      <c r="C13" s="20" t="inlineStr">
        <is>
          <t>NONE</t>
        </is>
      </c>
      <c r="D13" s="20" t="inlineStr">
        <is>
          <t>VERIFIED</t>
        </is>
      </c>
      <c r="E13" s="20" t="inlineStr">
        <is>
          <t>Image shows full bottom edge with no arrow; stored outgoing count=0, so incoming is TOP.</t>
        </is>
      </c>
    </row>
    <row r="14">
      <c r="A14" s="20" t="inlineStr">
        <is>
          <t>Subliminals</t>
        </is>
      </c>
      <c r="B14" s="20" t="inlineStr">
        <is>
          <t>TOP</t>
        </is>
      </c>
      <c r="C14" s="20" t="inlineStr">
        <is>
          <t>NONE</t>
        </is>
      </c>
      <c r="D14" s="20" t="inlineStr">
        <is>
          <t>VERIFIED</t>
        </is>
      </c>
      <c r="E14" s="20" t="inlineStr">
        <is>
          <t>Image shows full bottom edge with no arrow; stored outgoing count=0, so incoming is TOP.</t>
        </is>
      </c>
    </row>
    <row r="15">
      <c r="A15" s="20" t="inlineStr">
        <is>
          <t>Black Activists</t>
        </is>
      </c>
      <c r="B15" s="20" t="inlineStr">
        <is>
          <t>OPEN</t>
        </is>
      </c>
      <c r="C15" s="20" t="inlineStr">
        <is>
          <t>LEFT</t>
        </is>
      </c>
      <c r="D15" s="20" t="inlineStr">
        <is>
          <t>PARTIAL</t>
        </is>
      </c>
      <c r="E15" s="20" t="inlineStr">
        <is>
          <t>Image visibly confirms LEFT outgoing; incoming top/bottom not fully resolved by the crop.</t>
        </is>
      </c>
    </row>
    <row r="16">
      <c r="A16" s="20" t="inlineStr">
        <is>
          <t>Clone Arrangers</t>
        </is>
      </c>
      <c r="B16" s="20" t="inlineStr">
        <is>
          <t>OPEN</t>
        </is>
      </c>
      <c r="C16" s="20" t="inlineStr">
        <is>
          <t>LEFT + one of TOP/BOTTOM</t>
        </is>
      </c>
      <c r="D16" s="20" t="inlineStr">
        <is>
          <t>PARTIAL</t>
        </is>
      </c>
      <c r="E16" s="20" t="inlineStr">
        <is>
          <t>Image shows arrows on TOP, LEFT, BOTTOM; stored outgoing count=2, but TOP vs BOTTOM incoming remains ambiguous.</t>
        </is>
      </c>
    </row>
    <row r="17">
      <c r="A17" s="20" t="inlineStr">
        <is>
          <t>CFL-AIO</t>
        </is>
      </c>
      <c r="B17" s="20" t="inlineStr">
        <is>
          <t>OPEN</t>
        </is>
      </c>
      <c r="C17" s="20" t="inlineStr">
        <is>
          <t>LEFT, RIGHT + one of TOP/BOTTOM</t>
        </is>
      </c>
      <c r="D17" s="20" t="inlineStr">
        <is>
          <t>PARTIAL</t>
        </is>
      </c>
      <c r="E17" s="20" t="inlineStr">
        <is>
          <t>Image shows TOP/LEFT/RIGHT and stored outgoing count=3; incoming TOP vs BOTTOM remains unresolved without bottom edge.</t>
        </is>
      </c>
    </row>
    <row r="18">
      <c r="A18" s="20" t="inlineStr">
        <is>
          <t>Druids</t>
        </is>
      </c>
      <c r="B18" s="20" t="inlineStr">
        <is>
          <t>OPEN</t>
        </is>
      </c>
      <c r="C18" s="20" t="inlineStr">
        <is>
          <t>one of TOP/BOTTOM</t>
        </is>
      </c>
      <c r="D18" s="20" t="inlineStr">
        <is>
          <t>PARTIAL</t>
        </is>
      </c>
      <c r="E18" s="20" t="inlineStr">
        <is>
          <t>Image shows TOP and BOTTOM; stored outgoing count=1, so one is incoming and the other outgoing.</t>
        </is>
      </c>
    </row>
    <row r="19">
      <c r="A19" s="20" t="inlineStr">
        <is>
          <t>Nancy Reagan</t>
        </is>
      </c>
      <c r="B19" s="20" t="inlineStr">
        <is>
          <t>OPEN</t>
        </is>
      </c>
      <c r="C19" s="20" t="inlineStr">
        <is>
          <t>RIGHT</t>
        </is>
      </c>
      <c r="D19" s="20" t="inlineStr">
        <is>
          <t>PARTIAL</t>
        </is>
      </c>
      <c r="E19" s="20" t="inlineStr">
        <is>
          <t>Image confirms RIGHT outgoing; incoming top/bottom remains unresolved.</t>
        </is>
      </c>
    </row>
    <row r="20">
      <c r="A20" s="20" t="inlineStr">
        <is>
          <t>Fidel Castro</t>
        </is>
      </c>
      <c r="B20" s="20" t="inlineStr">
        <is>
          <t>OPEN</t>
        </is>
      </c>
      <c r="C20" s="20" t="inlineStr">
        <is>
          <t>one of TOP/BOTTOM</t>
        </is>
      </c>
      <c r="D20" s="20" t="inlineStr">
        <is>
          <t>PARTIAL</t>
        </is>
      </c>
      <c r="E20" s="20" t="inlineStr">
        <is>
          <t>Image confirms TOP arrow and no side outgoing arrow; stored outgoing count=1, but bottom edge is needed to classify TOP vs BOTTOM.</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5"/>
  <sheetViews>
    <sheetView tabSelected="0" workbookViewId="0">
      <selection activeCell="A1" sqref="A1"/>
    </sheetView>
  </sheetViews>
  <sheetFormatPr baseColWidth="8" defaultRowHeight="15"/>
  <cols>
    <col width="30" customWidth="1" style="16" min="1" max="1"/>
    <col width="18" customWidth="1" style="16" min="2" max="2"/>
    <col width="28" customWidth="1" style="16" min="3" max="3"/>
    <col width="16" customWidth="1" style="16" min="4" max="4"/>
    <col width="90" customWidth="1" style="16" min="5" max="5"/>
    <col width="42" customWidth="1" style="16" min="6" max="6"/>
  </cols>
  <sheetData>
    <row r="1">
      <c r="A1" s="39" t="inlineStr">
        <is>
          <t>Card</t>
        </is>
      </c>
      <c r="B1" s="39" t="inlineStr">
        <is>
          <t>Incoming</t>
        </is>
      </c>
      <c r="C1" s="39" t="inlineStr">
        <is>
          <t>Outgoing</t>
        </is>
      </c>
      <c r="D1" s="39" t="inlineStr">
        <is>
          <t>Status</t>
        </is>
      </c>
      <c r="E1" s="39" t="inlineStr">
        <is>
          <t>Source</t>
        </is>
      </c>
      <c r="F1" s="39" t="inlineStr">
        <is>
          <t>Validation</t>
        </is>
      </c>
    </row>
    <row r="2">
      <c r="A2" s="20" t="inlineStr">
        <is>
          <t>B.A.T.F.</t>
        </is>
      </c>
      <c r="B2" s="20" t="inlineStr">
        <is>
          <t>BOTTOM</t>
        </is>
      </c>
      <c r="C2" s="20" t="inlineStr">
        <is>
          <t>TOP</t>
        </is>
      </c>
      <c r="D2" s="20" t="inlineStr">
        <is>
          <t>VERIFIED</t>
        </is>
      </c>
      <c r="E2" s="20" t="inlineStr">
        <is>
          <t>Public full-front image: Mercari. Top triangle points outward; side edges show no arrows. Stored outgoing count=1; therefore the unseen/remaining incoming edge is BOTTOM. https://jp.mercari.com/item/m76498340341</t>
        </is>
      </c>
      <c r="F2" s="20" t="inlineStr">
        <is>
          <t>Outgoing direction count matches stored arrow count</t>
        </is>
      </c>
    </row>
    <row r="3">
      <c r="A3" s="20" t="inlineStr">
        <is>
          <t>Druids</t>
        </is>
      </c>
      <c r="B3" s="20" t="inlineStr">
        <is>
          <t>BOTTOM</t>
        </is>
      </c>
      <c r="C3" s="20" t="inlineStr">
        <is>
          <t>TOP</t>
        </is>
      </c>
      <c r="D3" s="20" t="inlineStr">
        <is>
          <t>VERIFIED</t>
        </is>
      </c>
      <c r="E3" s="20" t="inlineStr">
        <is>
          <t>Public full-front image: District. Top triangle points outward; stored outgoing count=1 and no side outgoing arrows; incoming is BOTTOM. https://district.net/product/druids-inwo-illuminati-new-world-855</t>
        </is>
      </c>
      <c r="F3" s="20" t="inlineStr">
        <is>
          <t>Outgoing direction count matches stored arrow count</t>
        </is>
      </c>
    </row>
    <row r="4">
      <c r="A4" s="20" t="inlineStr">
        <is>
          <t>Cattle Mutilators</t>
        </is>
      </c>
      <c r="B4" s="20" t="inlineStr">
        <is>
          <t>TOP</t>
        </is>
      </c>
      <c r="C4" s="20" t="inlineStr">
        <is>
          <t>RIGHT</t>
        </is>
      </c>
      <c r="D4" s="20" t="inlineStr">
        <is>
          <t>VERIFIED</t>
        </is>
      </c>
      <c r="E4" s="20" t="inlineStr">
        <is>
          <t>Public card image/search listing. Top triangle points inward and right triangle points outward; stored outgoing count=1. https://www.ebay.com/itm/145863192742</t>
        </is>
      </c>
      <c r="F4" s="20" t="inlineStr">
        <is>
          <t>Outgoing direction count matches stored arrow count</t>
        </is>
      </c>
    </row>
    <row r="5">
      <c r="A5" s="20" t="inlineStr">
        <is>
          <t>Conspiracy Theorists</t>
        </is>
      </c>
      <c r="B5" s="20" t="inlineStr">
        <is>
          <t>TOP</t>
        </is>
      </c>
      <c r="C5" s="20" t="inlineStr">
        <is>
          <t>NONE</t>
        </is>
      </c>
      <c r="D5" s="20" t="inlineStr">
        <is>
          <t>VERIFIED</t>
        </is>
      </c>
      <c r="E5" s="20" t="inlineStr">
        <is>
          <t>Public full-front image: District. Only top triangle is present and points inward; stored outgoing count=0. https://district.net/product/conspiracy-theorists-inwo-illumi-79b</t>
        </is>
      </c>
      <c r="F5" s="20" t="inlineStr">
        <is>
          <t>Outgoing direction count matches stored arrow count</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168"/>
  <sheetViews>
    <sheetView tabSelected="0" workbookViewId="0">
      <selection activeCell="A1" sqref="A1"/>
    </sheetView>
  </sheetViews>
  <sheetFormatPr baseColWidth="8" defaultRowHeight="15"/>
  <cols>
    <col width="34" customWidth="1" style="16" min="1" max="1"/>
    <col width="14" customWidth="1" style="16" min="2" max="2"/>
    <col width="30" customWidth="1" style="16" min="3" max="3"/>
    <col width="20" customWidth="1" style="16" min="4" max="4"/>
    <col width="20" customWidth="1" style="16" min="5" max="5"/>
    <col width="18" customWidth="1" style="16" min="6" max="6"/>
    <col width="46" customWidth="1" style="16" min="7" max="7"/>
  </cols>
  <sheetData>
    <row r="1">
      <c r="A1" s="42" t="inlineStr">
        <is>
          <t>Card</t>
        </is>
      </c>
      <c r="B1" s="42" t="inlineStr">
        <is>
          <t>Incoming</t>
        </is>
      </c>
      <c r="C1" s="42" t="inlineStr">
        <is>
          <t>Outgoing directions</t>
        </is>
      </c>
      <c r="D1" s="42" t="inlineStr">
        <is>
          <t>Prior outgoing count</t>
        </is>
      </c>
      <c r="E1" s="42" t="inlineStr">
        <is>
          <t>Scan outgoing count</t>
        </is>
      </c>
      <c r="F1" s="42" t="inlineStr">
        <is>
          <t>Count audit</t>
        </is>
      </c>
      <c r="G1" s="42" t="inlineStr">
        <is>
          <t>Scan filename</t>
        </is>
      </c>
    </row>
    <row r="2">
      <c r="A2" s="20" t="inlineStr">
        <is>
          <t>A.M.A.</t>
        </is>
      </c>
      <c r="B2" s="20" t="inlineStr">
        <is>
          <t>TOP</t>
        </is>
      </c>
      <c r="C2" s="20" t="inlineStr">
        <is>
          <t>LEFT, RIGHT</t>
        </is>
      </c>
      <c r="D2" s="20" t="n">
        <v>2</v>
      </c>
      <c r="E2" s="20" t="n">
        <v>2</v>
      </c>
      <c r="F2" s="20" t="inlineStr">
        <is>
          <t>MATCH</t>
        </is>
      </c>
      <c r="G2" s="20" t="inlineStr">
        <is>
          <t>A.M.A.</t>
        </is>
      </c>
    </row>
    <row r="3">
      <c r="A3" s="20" t="inlineStr">
        <is>
          <t>American Autoduel Association</t>
        </is>
      </c>
      <c r="B3" s="20" t="inlineStr">
        <is>
          <t>TOP</t>
        </is>
      </c>
      <c r="C3" s="20" t="inlineStr">
        <is>
          <t>BOTTOM</t>
        </is>
      </c>
      <c r="D3" s="20" t="n">
        <v>1</v>
      </c>
      <c r="E3" s="20" t="n">
        <v>1</v>
      </c>
      <c r="F3" s="20" t="inlineStr">
        <is>
          <t>MATCH</t>
        </is>
      </c>
      <c r="G3" s="20" t="inlineStr">
        <is>
          <t>American Autoduel Association</t>
        </is>
      </c>
    </row>
    <row r="4">
      <c r="A4" s="20" t="inlineStr">
        <is>
          <t>Anti-Nuclear Activists</t>
        </is>
      </c>
      <c r="B4" s="20" t="inlineStr">
        <is>
          <t>TOP</t>
        </is>
      </c>
      <c r="C4" s="20" t="inlineStr">
        <is>
          <t>RIGHT</t>
        </is>
      </c>
      <c r="D4" s="20" t="n">
        <v>1</v>
      </c>
      <c r="E4" s="20" t="n">
        <v>1</v>
      </c>
      <c r="F4" s="20" t="inlineStr">
        <is>
          <t>MATCH</t>
        </is>
      </c>
      <c r="G4" s="20" t="inlineStr">
        <is>
          <t>Anti-Nuclear Activists</t>
        </is>
      </c>
    </row>
    <row r="5">
      <c r="A5" s="20" t="inlineStr">
        <is>
          <t>Anti-War Activists</t>
        </is>
      </c>
      <c r="B5" s="20" t="inlineStr">
        <is>
          <t>TOP</t>
        </is>
      </c>
      <c r="C5" s="20" t="inlineStr">
        <is>
          <t>NONE</t>
        </is>
      </c>
      <c r="D5" s="20" t="n">
        <v>0</v>
      </c>
      <c r="E5" s="20" t="n">
        <v>0</v>
      </c>
      <c r="F5" s="20" t="inlineStr">
        <is>
          <t>MATCH</t>
        </is>
      </c>
      <c r="G5" s="20" t="inlineStr">
        <is>
          <t>Antiwar Activists</t>
        </is>
      </c>
    </row>
    <row r="6">
      <c r="A6" s="20" t="inlineStr">
        <is>
          <t>Bank of England</t>
        </is>
      </c>
      <c r="B6" s="20" t="inlineStr">
        <is>
          <t>TOP</t>
        </is>
      </c>
      <c r="C6" s="20" t="inlineStr">
        <is>
          <t>LEFT</t>
        </is>
      </c>
      <c r="D6" s="20" t="n">
        <v>1</v>
      </c>
      <c r="E6" s="20" t="n">
        <v>1</v>
      </c>
      <c r="F6" s="20" t="inlineStr">
        <is>
          <t>MATCH</t>
        </is>
      </c>
      <c r="G6" s="20" t="inlineStr">
        <is>
          <t>Bank of England</t>
        </is>
      </c>
    </row>
    <row r="7">
      <c r="A7" s="20" t="inlineStr">
        <is>
          <t>B.A.T.F.</t>
        </is>
      </c>
      <c r="B7" s="20" t="inlineStr">
        <is>
          <t>BOTTOM</t>
        </is>
      </c>
      <c r="C7" s="20" t="inlineStr">
        <is>
          <t>TOP</t>
        </is>
      </c>
      <c r="D7" s="20" t="n">
        <v>1</v>
      </c>
      <c r="E7" s="20" t="n">
        <v>1</v>
      </c>
      <c r="F7" s="20" t="inlineStr">
        <is>
          <t>MATCH</t>
        </is>
      </c>
      <c r="G7" s="20" t="inlineStr">
        <is>
          <t>B.A.T.F.</t>
        </is>
      </c>
    </row>
    <row r="8">
      <c r="A8" s="20" t="inlineStr">
        <is>
          <t>Big Media</t>
        </is>
      </c>
      <c r="B8" s="20" t="inlineStr">
        <is>
          <t>TOP</t>
        </is>
      </c>
      <c r="C8" s="20" t="inlineStr">
        <is>
          <t>BOTTOM, LEFT, RIGHT</t>
        </is>
      </c>
      <c r="D8" s="20" t="n">
        <v>3</v>
      </c>
      <c r="E8" s="20" t="n">
        <v>3</v>
      </c>
      <c r="F8" s="20" t="inlineStr">
        <is>
          <t>MATCH</t>
        </is>
      </c>
      <c r="G8" s="20" t="inlineStr">
        <is>
          <t>Big Media</t>
        </is>
      </c>
    </row>
    <row r="9">
      <c r="A9" s="20" t="inlineStr">
        <is>
          <t>Black Activists</t>
        </is>
      </c>
      <c r="B9" s="20" t="inlineStr">
        <is>
          <t>TOP</t>
        </is>
      </c>
      <c r="C9" s="20" t="inlineStr">
        <is>
          <t>LEFT</t>
        </is>
      </c>
      <c r="D9" s="20" t="n">
        <v>1</v>
      </c>
      <c r="E9" s="20" t="n">
        <v>1</v>
      </c>
      <c r="F9" s="20" t="inlineStr">
        <is>
          <t>MATCH</t>
        </is>
      </c>
      <c r="G9" s="20" t="inlineStr">
        <is>
          <t>Black Activists</t>
        </is>
      </c>
    </row>
    <row r="10">
      <c r="A10" s="20" t="inlineStr">
        <is>
          <t>Boy Sprouts</t>
        </is>
      </c>
      <c r="B10" s="20" t="inlineStr">
        <is>
          <t>TOP</t>
        </is>
      </c>
      <c r="C10" s="20" t="inlineStr">
        <is>
          <t>NONE</t>
        </is>
      </c>
      <c r="D10" s="20" t="n">
        <v>0</v>
      </c>
      <c r="E10" s="20" t="n">
        <v>0</v>
      </c>
      <c r="F10" s="20" t="inlineStr">
        <is>
          <t>MATCH</t>
        </is>
      </c>
      <c r="G10" s="20" t="inlineStr">
        <is>
          <t>Boy Sprouts</t>
        </is>
      </c>
    </row>
    <row r="11">
      <c r="A11" s="20" t="inlineStr">
        <is>
          <t>Cable TV</t>
        </is>
      </c>
      <c r="B11" s="20" t="inlineStr">
        <is>
          <t>TOP</t>
        </is>
      </c>
      <c r="C11" s="20" t="inlineStr">
        <is>
          <t>BOTTOM, RIGHT</t>
        </is>
      </c>
      <c r="D11" s="20" t="n">
        <v>2</v>
      </c>
      <c r="E11" s="20" t="n">
        <v>2</v>
      </c>
      <c r="F11" s="20" t="inlineStr">
        <is>
          <t>MATCH</t>
        </is>
      </c>
      <c r="G11" s="20" t="inlineStr">
        <is>
          <t>Cable TV</t>
        </is>
      </c>
    </row>
    <row r="12">
      <c r="A12" s="20" t="inlineStr">
        <is>
          <t>Cattle Mutilators</t>
        </is>
      </c>
      <c r="B12" s="20" t="inlineStr">
        <is>
          <t>TOP</t>
        </is>
      </c>
      <c r="C12" s="20" t="inlineStr">
        <is>
          <t>RIGHT</t>
        </is>
      </c>
      <c r="D12" s="20" t="n">
        <v>1</v>
      </c>
      <c r="E12" s="20" t="n">
        <v>1</v>
      </c>
      <c r="F12" s="20" t="inlineStr">
        <is>
          <t>MATCH</t>
        </is>
      </c>
      <c r="G12" s="20" t="inlineStr">
        <is>
          <t>Cattle Mutilators</t>
        </is>
      </c>
    </row>
    <row r="13">
      <c r="A13" s="20" t="inlineStr">
        <is>
          <t>CFL-AIO</t>
        </is>
      </c>
      <c r="B13" s="20" t="inlineStr">
        <is>
          <t>BOTTOM</t>
        </is>
      </c>
      <c r="C13" s="20" t="inlineStr">
        <is>
          <t>TOP, LEFT, RIGHT</t>
        </is>
      </c>
      <c r="D13" s="20" t="n">
        <v>3</v>
      </c>
      <c r="E13" s="20" t="n">
        <v>3</v>
      </c>
      <c r="F13" s="20" t="inlineStr">
        <is>
          <t>MATCH</t>
        </is>
      </c>
      <c r="G13" s="20" t="inlineStr">
        <is>
          <t>CFL-AIO</t>
        </is>
      </c>
    </row>
    <row r="14">
      <c r="A14" s="20" t="inlineStr">
        <is>
          <t>Church of Elvis</t>
        </is>
      </c>
      <c r="B14" s="20" t="inlineStr">
        <is>
          <t>TOP</t>
        </is>
      </c>
      <c r="C14" s="20" t="inlineStr">
        <is>
          <t>NONE</t>
        </is>
      </c>
      <c r="D14" s="20" t="n">
        <v>0</v>
      </c>
      <c r="E14" s="20" t="n">
        <v>0</v>
      </c>
      <c r="F14" s="20" t="inlineStr">
        <is>
          <t>MATCH</t>
        </is>
      </c>
      <c r="G14" s="20" t="inlineStr">
        <is>
          <t>Church of Elvis</t>
        </is>
      </c>
    </row>
    <row r="15">
      <c r="A15" s="20" t="inlineStr">
        <is>
          <t>C.I.A.</t>
        </is>
      </c>
      <c r="B15" s="20" t="inlineStr">
        <is>
          <t>TOP</t>
        </is>
      </c>
      <c r="C15" s="20" t="inlineStr">
        <is>
          <t>BOTTOM, LEFT, RIGHT</t>
        </is>
      </c>
      <c r="D15" s="20" t="n">
        <v>3</v>
      </c>
      <c r="E15" s="20" t="n">
        <v>3</v>
      </c>
      <c r="F15" s="20" t="inlineStr">
        <is>
          <t>MATCH</t>
        </is>
      </c>
      <c r="G15" s="20" t="inlineStr">
        <is>
          <t>C.I.A.</t>
        </is>
      </c>
    </row>
    <row r="16">
      <c r="A16" s="20" t="inlineStr">
        <is>
          <t>Clone Arrangers</t>
        </is>
      </c>
      <c r="B16" s="20" t="inlineStr">
        <is>
          <t>TOP</t>
        </is>
      </c>
      <c r="C16" s="20" t="inlineStr">
        <is>
          <t>BOTTOM, LEFT</t>
        </is>
      </c>
      <c r="D16" s="20" t="n">
        <v>2</v>
      </c>
      <c r="E16" s="20" t="n">
        <v>2</v>
      </c>
      <c r="F16" s="20" t="inlineStr">
        <is>
          <t>MATCH</t>
        </is>
      </c>
      <c r="G16" s="20" t="inlineStr">
        <is>
          <t>Clone Arrangers</t>
        </is>
      </c>
    </row>
    <row r="17">
      <c r="A17" s="20" t="inlineStr">
        <is>
          <t>Comic Books</t>
        </is>
      </c>
      <c r="B17" s="20" t="inlineStr">
        <is>
          <t>TOP</t>
        </is>
      </c>
      <c r="C17" s="20" t="inlineStr">
        <is>
          <t>BOTTOM</t>
        </is>
      </c>
      <c r="D17" s="20" t="n">
        <v>1</v>
      </c>
      <c r="E17" s="20" t="n">
        <v>1</v>
      </c>
      <c r="F17" s="20" t="inlineStr">
        <is>
          <t>MATCH</t>
        </is>
      </c>
      <c r="G17" s="20" t="inlineStr">
        <is>
          <t>Comic Books</t>
        </is>
      </c>
    </row>
    <row r="18">
      <c r="A18" s="20" t="inlineStr">
        <is>
          <t>Congressional Wives</t>
        </is>
      </c>
      <c r="B18" s="20" t="inlineStr">
        <is>
          <t>TOP</t>
        </is>
      </c>
      <c r="C18" s="20" t="inlineStr">
        <is>
          <t>RIGHT</t>
        </is>
      </c>
      <c r="D18" s="20" t="n">
        <v>1</v>
      </c>
      <c r="E18" s="20" t="n">
        <v>1</v>
      </c>
      <c r="F18" s="20" t="inlineStr">
        <is>
          <t>MATCH</t>
        </is>
      </c>
      <c r="G18" s="20" t="inlineStr">
        <is>
          <t>Congressional Wives</t>
        </is>
      </c>
    </row>
    <row r="19">
      <c r="A19" s="20" t="inlineStr">
        <is>
          <t>Conspiracy Theorists</t>
        </is>
      </c>
      <c r="B19" s="20" t="inlineStr">
        <is>
          <t>TOP</t>
        </is>
      </c>
      <c r="C19" s="20" t="inlineStr">
        <is>
          <t>NONE</t>
        </is>
      </c>
      <c r="D19" s="20" t="n">
        <v>0</v>
      </c>
      <c r="E19" s="20" t="n">
        <v>0</v>
      </c>
      <c r="F19" s="20" t="inlineStr">
        <is>
          <t>MATCH</t>
        </is>
      </c>
      <c r="G19" s="20" t="inlineStr">
        <is>
          <t>Conspiracy Theorists</t>
        </is>
      </c>
    </row>
    <row r="20">
      <c r="A20" s="20" t="inlineStr">
        <is>
          <t>Cycle Gangs</t>
        </is>
      </c>
      <c r="B20" s="20" t="inlineStr">
        <is>
          <t>TOP</t>
        </is>
      </c>
      <c r="C20" s="20" t="inlineStr">
        <is>
          <t>NONE</t>
        </is>
      </c>
      <c r="D20" s="20" t="n">
        <v>0</v>
      </c>
      <c r="E20" s="20" t="n">
        <v>0</v>
      </c>
      <c r="F20" s="20" t="inlineStr">
        <is>
          <t>MATCH</t>
        </is>
      </c>
      <c r="G20" s="20" t="inlineStr">
        <is>
          <t>Cycle Gangs</t>
        </is>
      </c>
    </row>
    <row r="21">
      <c r="A21" s="20" t="inlineStr">
        <is>
          <t>Democrats</t>
        </is>
      </c>
      <c r="B21" s="20" t="inlineStr">
        <is>
          <t>TOP</t>
        </is>
      </c>
      <c r="C21" s="20" t="inlineStr">
        <is>
          <t>LEFT, RIGHT</t>
        </is>
      </c>
      <c r="D21" s="20" t="n">
        <v>2</v>
      </c>
      <c r="E21" s="20" t="n">
        <v>2</v>
      </c>
      <c r="F21" s="20" t="inlineStr">
        <is>
          <t>MATCH</t>
        </is>
      </c>
      <c r="G21" s="20" t="inlineStr">
        <is>
          <t>Democrats</t>
        </is>
      </c>
    </row>
    <row r="22">
      <c r="A22" s="20" t="inlineStr">
        <is>
          <t>Dentists</t>
        </is>
      </c>
      <c r="B22" s="20" t="inlineStr">
        <is>
          <t>TOP</t>
        </is>
      </c>
      <c r="C22" s="20" t="inlineStr">
        <is>
          <t>NONE</t>
        </is>
      </c>
      <c r="D22" s="20" t="n">
        <v>0</v>
      </c>
      <c r="E22" s="20" t="n">
        <v>0</v>
      </c>
      <c r="F22" s="20" t="inlineStr">
        <is>
          <t>MATCH</t>
        </is>
      </c>
      <c r="G22" s="20" t="inlineStr">
        <is>
          <t>Dentists</t>
        </is>
      </c>
    </row>
    <row r="23">
      <c r="A23" s="20" t="inlineStr">
        <is>
          <t>Deprogrammers</t>
        </is>
      </c>
      <c r="B23" s="20" t="inlineStr">
        <is>
          <t>TOP</t>
        </is>
      </c>
      <c r="C23" s="20" t="inlineStr">
        <is>
          <t>NONE</t>
        </is>
      </c>
      <c r="D23" s="20" t="n">
        <v>0</v>
      </c>
      <c r="E23" s="20" t="n">
        <v>0</v>
      </c>
      <c r="F23" s="20" t="inlineStr">
        <is>
          <t>MATCH</t>
        </is>
      </c>
      <c r="G23" s="20" t="inlineStr">
        <is>
          <t>Deprogrammers</t>
        </is>
      </c>
    </row>
    <row r="24">
      <c r="A24" s="20" t="inlineStr">
        <is>
          <t>Druids</t>
        </is>
      </c>
      <c r="B24" s="20" t="inlineStr">
        <is>
          <t>BOTTOM</t>
        </is>
      </c>
      <c r="C24" s="20" t="inlineStr">
        <is>
          <t>TOP</t>
        </is>
      </c>
      <c r="D24" s="20" t="n">
        <v>1</v>
      </c>
      <c r="E24" s="20" t="n">
        <v>1</v>
      </c>
      <c r="F24" s="20" t="inlineStr">
        <is>
          <t>MATCH</t>
        </is>
      </c>
      <c r="G24" s="20" t="inlineStr">
        <is>
          <t>Druids</t>
        </is>
      </c>
    </row>
    <row r="25">
      <c r="A25" s="20" t="inlineStr">
        <is>
          <t>Eco-Guerrillas</t>
        </is>
      </c>
      <c r="B25" s="20" t="inlineStr">
        <is>
          <t>TOP</t>
        </is>
      </c>
      <c r="C25" s="20" t="inlineStr">
        <is>
          <t>NONE</t>
        </is>
      </c>
      <c r="D25" s="20" t="n">
        <v>0</v>
      </c>
      <c r="E25" s="20" t="n">
        <v>0</v>
      </c>
      <c r="F25" s="20" t="inlineStr">
        <is>
          <t>MATCH</t>
        </is>
      </c>
      <c r="G25" s="20" t="inlineStr">
        <is>
          <t>Eco-Guerillas</t>
        </is>
      </c>
    </row>
    <row r="26">
      <c r="A26" s="20" t="inlineStr">
        <is>
          <t>EFF</t>
        </is>
      </c>
      <c r="B26" s="20" t="inlineStr">
        <is>
          <t>BOTTOM</t>
        </is>
      </c>
      <c r="C26" s="20" t="inlineStr">
        <is>
          <t>TOP</t>
        </is>
      </c>
      <c r="D26" s="20" t="n">
        <v>1</v>
      </c>
      <c r="E26" s="20" t="n">
        <v>1</v>
      </c>
      <c r="F26" s="20" t="inlineStr">
        <is>
          <t>MATCH</t>
        </is>
      </c>
      <c r="G26" s="20" t="inlineStr">
        <is>
          <t>EFF</t>
        </is>
      </c>
    </row>
    <row r="27">
      <c r="A27" s="20" t="inlineStr">
        <is>
          <t>Elders of Zion</t>
        </is>
      </c>
      <c r="B27" s="20" t="inlineStr">
        <is>
          <t>BOTTOM</t>
        </is>
      </c>
      <c r="C27" s="20" t="inlineStr">
        <is>
          <t>TOP, LEFT</t>
        </is>
      </c>
      <c r="D27" s="20" t="n">
        <v>2</v>
      </c>
      <c r="E27" s="20" t="n">
        <v>2</v>
      </c>
      <c r="F27" s="20" t="inlineStr">
        <is>
          <t>MATCH</t>
        </is>
      </c>
      <c r="G27" s="20" t="inlineStr">
        <is>
          <t>Elders of Zion</t>
        </is>
      </c>
    </row>
    <row r="28">
      <c r="A28" s="20" t="inlineStr">
        <is>
          <t>Empty Vee</t>
        </is>
      </c>
      <c r="B28" s="20" t="inlineStr">
        <is>
          <t>BOTTOM</t>
        </is>
      </c>
      <c r="C28" s="20" t="inlineStr">
        <is>
          <t>TOP, RIGHT</t>
        </is>
      </c>
      <c r="D28" s="20" t="n">
        <v>2</v>
      </c>
      <c r="E28" s="20" t="n">
        <v>2</v>
      </c>
      <c r="F28" s="20" t="inlineStr">
        <is>
          <t>MATCH</t>
        </is>
      </c>
      <c r="G28" s="20" t="inlineStr">
        <is>
          <t>Empty Vee</t>
        </is>
      </c>
    </row>
    <row r="29">
      <c r="A29" s="20" t="inlineStr">
        <is>
          <t>Evil Geniuses for a Better Tomorrow</t>
        </is>
      </c>
      <c r="B29" s="20" t="inlineStr">
        <is>
          <t>TOP</t>
        </is>
      </c>
      <c r="C29" s="20" t="inlineStr">
        <is>
          <t>NONE</t>
        </is>
      </c>
      <c r="D29" s="20" t="n">
        <v>0</v>
      </c>
      <c r="E29" s="20" t="n">
        <v>0</v>
      </c>
      <c r="F29" s="20" t="inlineStr">
        <is>
          <t>MATCH</t>
        </is>
      </c>
      <c r="G29" s="20" t="inlineStr">
        <is>
          <t>Evil Geniuses for a Better Tomorrow</t>
        </is>
      </c>
    </row>
    <row r="30">
      <c r="A30" s="20" t="inlineStr">
        <is>
          <t>Fast Food Chains</t>
        </is>
      </c>
      <c r="B30" s="20" t="inlineStr">
        <is>
          <t>TOP</t>
        </is>
      </c>
      <c r="C30" s="20" t="inlineStr">
        <is>
          <t>RIGHT</t>
        </is>
      </c>
      <c r="D30" s="20" t="n">
        <v>1</v>
      </c>
      <c r="E30" s="20" t="n">
        <v>1</v>
      </c>
      <c r="F30" s="20" t="inlineStr">
        <is>
          <t>MATCH</t>
        </is>
      </c>
      <c r="G30" s="20" t="inlineStr">
        <is>
          <t>Fast Food Chains</t>
        </is>
      </c>
    </row>
    <row r="31">
      <c r="A31" s="20" t="inlineStr">
        <is>
          <t>FBI</t>
        </is>
      </c>
      <c r="B31" s="20" t="inlineStr">
        <is>
          <t>TOP</t>
        </is>
      </c>
      <c r="C31" s="20" t="inlineStr">
        <is>
          <t>LEFT, RIGHT</t>
        </is>
      </c>
      <c r="D31" s="20" t="n">
        <v>2</v>
      </c>
      <c r="E31" s="20" t="n">
        <v>2</v>
      </c>
      <c r="F31" s="20" t="inlineStr">
        <is>
          <t>MATCH</t>
        </is>
      </c>
      <c r="G31" s="20" t="inlineStr">
        <is>
          <t>F.B.I.</t>
        </is>
      </c>
    </row>
    <row r="32">
      <c r="A32" s="20" t="inlineStr">
        <is>
          <t>Federal Reserve</t>
        </is>
      </c>
      <c r="B32" s="20" t="inlineStr">
        <is>
          <t>TOP</t>
        </is>
      </c>
      <c r="C32" s="20" t="inlineStr">
        <is>
          <t>BOTTOM, LEFT</t>
        </is>
      </c>
      <c r="D32" s="20" t="n">
        <v>2</v>
      </c>
      <c r="E32" s="20" t="n">
        <v>2</v>
      </c>
      <c r="F32" s="20" t="inlineStr">
        <is>
          <t>MATCH</t>
        </is>
      </c>
      <c r="G32" s="20" t="inlineStr">
        <is>
          <t>Federal Reserve</t>
        </is>
      </c>
    </row>
    <row r="33">
      <c r="A33" s="20" t="inlineStr">
        <is>
          <t>Feminists</t>
        </is>
      </c>
      <c r="B33" s="20" t="inlineStr">
        <is>
          <t>TOP</t>
        </is>
      </c>
      <c r="C33" s="20" t="inlineStr">
        <is>
          <t>BOTTOM</t>
        </is>
      </c>
      <c r="D33" s="20" t="n">
        <v>1</v>
      </c>
      <c r="E33" s="20" t="n">
        <v>1</v>
      </c>
      <c r="F33" s="20" t="inlineStr">
        <is>
          <t>MATCH</t>
        </is>
      </c>
      <c r="G33" s="20" t="inlineStr">
        <is>
          <t>Feminists</t>
        </is>
      </c>
    </row>
    <row r="34">
      <c r="A34" s="20" t="inlineStr">
        <is>
          <t>Fiendish Fluoridators</t>
        </is>
      </c>
      <c r="B34" s="20" t="inlineStr">
        <is>
          <t>TOP</t>
        </is>
      </c>
      <c r="C34" s="20" t="inlineStr">
        <is>
          <t>LEFT, RIGHT</t>
        </is>
      </c>
      <c r="D34" s="20" t="n">
        <v>2</v>
      </c>
      <c r="E34" s="20" t="n">
        <v>2</v>
      </c>
      <c r="F34" s="20" t="inlineStr">
        <is>
          <t>MATCH</t>
        </is>
      </c>
      <c r="G34" s="20" t="inlineStr">
        <is>
          <t>Fiendish Fluoridators</t>
        </is>
      </c>
    </row>
    <row r="35">
      <c r="A35" s="20" t="inlineStr">
        <is>
          <t>Flat Earthers</t>
        </is>
      </c>
      <c r="B35" s="20" t="inlineStr">
        <is>
          <t>TOP</t>
        </is>
      </c>
      <c r="C35" s="20" t="inlineStr">
        <is>
          <t>RIGHT</t>
        </is>
      </c>
      <c r="D35" s="20" t="n">
        <v>1</v>
      </c>
      <c r="E35" s="20" t="n">
        <v>1</v>
      </c>
      <c r="F35" s="20" t="inlineStr">
        <is>
          <t>MATCH</t>
        </is>
      </c>
      <c r="G35" s="20" t="inlineStr">
        <is>
          <t>Flat Earthers</t>
        </is>
      </c>
    </row>
    <row r="36">
      <c r="A36" s="20" t="inlineStr">
        <is>
          <t>Fnord Motor Company</t>
        </is>
      </c>
      <c r="B36" s="20" t="inlineStr">
        <is>
          <t>TOP</t>
        </is>
      </c>
      <c r="C36" s="20" t="inlineStr">
        <is>
          <t>LEFT</t>
        </is>
      </c>
      <c r="D36" s="20" t="n">
        <v>1</v>
      </c>
      <c r="E36" s="20" t="n">
        <v>1</v>
      </c>
      <c r="F36" s="20" t="inlineStr">
        <is>
          <t>MATCH</t>
        </is>
      </c>
      <c r="G36" s="20" t="inlineStr">
        <is>
          <t>Fnord Motor Company</t>
        </is>
      </c>
    </row>
    <row r="37">
      <c r="A37" s="20" t="inlineStr">
        <is>
          <t>Fraternal Orders</t>
        </is>
      </c>
      <c r="B37" s="20" t="inlineStr">
        <is>
          <t>BOTTOM</t>
        </is>
      </c>
      <c r="C37" s="20" t="inlineStr">
        <is>
          <t>TOP</t>
        </is>
      </c>
      <c r="D37" s="20" t="n">
        <v>1</v>
      </c>
      <c r="E37" s="20" t="n">
        <v>1</v>
      </c>
      <c r="F37" s="20" t="inlineStr">
        <is>
          <t>MATCH</t>
        </is>
      </c>
      <c r="G37" s="20" t="inlineStr">
        <is>
          <t>Fraternal Orders</t>
        </is>
      </c>
    </row>
    <row r="38">
      <c r="A38" s="20" t="inlineStr">
        <is>
          <t>Fred Birch Society</t>
        </is>
      </c>
      <c r="B38" s="20" t="inlineStr">
        <is>
          <t>BOTTOM</t>
        </is>
      </c>
      <c r="C38" s="20" t="inlineStr">
        <is>
          <t>TOP</t>
        </is>
      </c>
      <c r="D38" s="20" t="n">
        <v>1</v>
      </c>
      <c r="E38" s="20" t="n">
        <v>1</v>
      </c>
      <c r="F38" s="20" t="inlineStr">
        <is>
          <t>MATCH</t>
        </is>
      </c>
      <c r="G38" s="20" t="inlineStr">
        <is>
          <t>Fred Birch Society</t>
        </is>
      </c>
    </row>
    <row r="39">
      <c r="A39" s="20" t="inlineStr">
        <is>
          <t>Gay Activists</t>
        </is>
      </c>
      <c r="B39" s="20" t="inlineStr">
        <is>
          <t>TOP</t>
        </is>
      </c>
      <c r="C39" s="20" t="inlineStr">
        <is>
          <t>LEFT</t>
        </is>
      </c>
      <c r="D39" s="20" t="n">
        <v>1</v>
      </c>
      <c r="E39" s="20" t="n">
        <v>1</v>
      </c>
      <c r="F39" s="20" t="inlineStr">
        <is>
          <t>MATCH</t>
        </is>
      </c>
      <c r="G39" s="20" t="inlineStr">
        <is>
          <t>Gay Activists</t>
        </is>
      </c>
    </row>
    <row r="40">
      <c r="A40" s="20" t="inlineStr">
        <is>
          <t>Girlie Magazines</t>
        </is>
      </c>
      <c r="B40" s="20" t="inlineStr">
        <is>
          <t>TOP</t>
        </is>
      </c>
      <c r="C40" s="20" t="inlineStr">
        <is>
          <t>BOTTOM</t>
        </is>
      </c>
      <c r="D40" s="20" t="n">
        <v>1</v>
      </c>
      <c r="E40" s="20" t="n">
        <v>1</v>
      </c>
      <c r="F40" s="20" t="inlineStr">
        <is>
          <t>MATCH</t>
        </is>
      </c>
      <c r="G40" s="20" t="inlineStr">
        <is>
          <t>Girlie Magazines</t>
        </is>
      </c>
    </row>
    <row r="41">
      <c r="A41" s="20" t="inlineStr">
        <is>
          <t>Goldfish Fanciers</t>
        </is>
      </c>
      <c r="B41" s="20" t="inlineStr">
        <is>
          <t>TOP</t>
        </is>
      </c>
      <c r="C41" s="20" t="inlineStr">
        <is>
          <t>NONE</t>
        </is>
      </c>
      <c r="D41" s="20" t="n">
        <v>0</v>
      </c>
      <c r="E41" s="20" t="n">
        <v>0</v>
      </c>
      <c r="F41" s="20" t="inlineStr">
        <is>
          <t>MATCH</t>
        </is>
      </c>
      <c r="G41" s="20" t="inlineStr">
        <is>
          <t>Goldfish Fanciers</t>
        </is>
      </c>
    </row>
    <row r="42">
      <c r="A42" s="20" t="inlineStr">
        <is>
          <t>Gun Lobby</t>
        </is>
      </c>
      <c r="B42" s="20" t="inlineStr">
        <is>
          <t>BOTTOM</t>
        </is>
      </c>
      <c r="C42" s="20" t="inlineStr">
        <is>
          <t>TOP</t>
        </is>
      </c>
      <c r="D42" s="20" t="n">
        <v>1</v>
      </c>
      <c r="E42" s="20" t="n">
        <v>1</v>
      </c>
      <c r="F42" s="20" t="inlineStr">
        <is>
          <t>MATCH</t>
        </is>
      </c>
      <c r="G42" s="20" t="inlineStr">
        <is>
          <t>Gun Lobby</t>
        </is>
      </c>
    </row>
    <row r="43">
      <c r="A43" s="20" t="inlineStr">
        <is>
          <t>Hackers</t>
        </is>
      </c>
      <c r="B43" s="20" t="inlineStr">
        <is>
          <t>TOP</t>
        </is>
      </c>
      <c r="C43" s="20" t="inlineStr">
        <is>
          <t>LEFT</t>
        </is>
      </c>
      <c r="D43" s="20" t="n">
        <v>1</v>
      </c>
      <c r="E43" s="20" t="n">
        <v>1</v>
      </c>
      <c r="F43" s="20" t="inlineStr">
        <is>
          <t>MATCH</t>
        </is>
      </c>
      <c r="G43" s="20" t="inlineStr">
        <is>
          <t>Hackers</t>
        </is>
      </c>
    </row>
    <row r="44">
      <c r="A44" s="20" t="inlineStr">
        <is>
          <t>Intellectuals</t>
        </is>
      </c>
      <c r="B44" s="20" t="inlineStr">
        <is>
          <t>TOP</t>
        </is>
      </c>
      <c r="C44" s="20" t="inlineStr">
        <is>
          <t>NONE</t>
        </is>
      </c>
      <c r="D44" s="20" t="n">
        <v>0</v>
      </c>
      <c r="E44" s="20" t="n">
        <v>0</v>
      </c>
      <c r="F44" s="20" t="inlineStr">
        <is>
          <t>MATCH</t>
        </is>
      </c>
      <c r="G44" s="20" t="inlineStr">
        <is>
          <t>Intellectuals</t>
        </is>
      </c>
    </row>
    <row r="45">
      <c r="A45" s="20" t="inlineStr">
        <is>
          <t>International Cocaine Smugglers</t>
        </is>
      </c>
      <c r="B45" s="20" t="inlineStr">
        <is>
          <t>BOTTOM</t>
        </is>
      </c>
      <c r="C45" s="20" t="inlineStr">
        <is>
          <t>TOP, LEFT, RIGHT</t>
        </is>
      </c>
      <c r="D45" s="20" t="n">
        <v>2</v>
      </c>
      <c r="E45" s="20" t="n">
        <v>3</v>
      </c>
      <c r="F45" s="20" t="inlineStr">
        <is>
          <t>COUNT CORRECTED</t>
        </is>
      </c>
      <c r="G45" s="20" t="inlineStr">
        <is>
          <t>International Cocaine Smugglers</t>
        </is>
      </c>
    </row>
    <row r="46">
      <c r="A46" s="20" t="inlineStr">
        <is>
          <t>International Communist Conspiracy</t>
        </is>
      </c>
      <c r="B46" s="20" t="inlineStr">
        <is>
          <t>TOP</t>
        </is>
      </c>
      <c r="C46" s="20" t="inlineStr">
        <is>
          <t>BOTTOM, LEFT, RIGHT</t>
        </is>
      </c>
      <c r="D46" s="20" t="n">
        <v>3</v>
      </c>
      <c r="E46" s="20" t="n">
        <v>3</v>
      </c>
      <c r="F46" s="20" t="inlineStr">
        <is>
          <t>MATCH</t>
        </is>
      </c>
      <c r="G46" s="20" t="inlineStr">
        <is>
          <t>International Communist Conspiracy</t>
        </is>
      </c>
    </row>
    <row r="47">
      <c r="A47" s="20" t="inlineStr">
        <is>
          <t>International Weather Organization</t>
        </is>
      </c>
      <c r="B47" s="20" t="inlineStr">
        <is>
          <t>TOP</t>
        </is>
      </c>
      <c r="C47" s="20" t="inlineStr">
        <is>
          <t>BOTTOM, LEFT, RIGHT</t>
        </is>
      </c>
      <c r="D47" s="20" t="n">
        <v>3</v>
      </c>
      <c r="E47" s="20" t="n">
        <v>3</v>
      </c>
      <c r="F47" s="20" t="inlineStr">
        <is>
          <t>MATCH</t>
        </is>
      </c>
      <c r="G47" s="20" t="inlineStr">
        <is>
          <t>International Weather Organization</t>
        </is>
      </c>
    </row>
    <row r="48">
      <c r="A48" s="20" t="inlineStr">
        <is>
          <t>I.R.S.</t>
        </is>
      </c>
      <c r="B48" s="20" t="inlineStr">
        <is>
          <t>TOP</t>
        </is>
      </c>
      <c r="C48" s="20" t="inlineStr">
        <is>
          <t>LEFT, RIGHT</t>
        </is>
      </c>
      <c r="D48" s="20" t="n">
        <v>2</v>
      </c>
      <c r="E48" s="20" t="n">
        <v>2</v>
      </c>
      <c r="F48" s="20" t="inlineStr">
        <is>
          <t>MATCH</t>
        </is>
      </c>
      <c r="G48" s="20" t="inlineStr">
        <is>
          <t>I.R.S.</t>
        </is>
      </c>
    </row>
    <row r="49">
      <c r="A49" s="20" t="inlineStr">
        <is>
          <t>Joggers</t>
        </is>
      </c>
      <c r="B49" s="20" t="inlineStr">
        <is>
          <t>TOP</t>
        </is>
      </c>
      <c r="C49" s="20" t="inlineStr">
        <is>
          <t>NONE</t>
        </is>
      </c>
      <c r="D49" s="20" t="n">
        <v>0</v>
      </c>
      <c r="E49" s="20" t="n">
        <v>0</v>
      </c>
      <c r="F49" s="20" t="inlineStr">
        <is>
          <t>MATCH</t>
        </is>
      </c>
      <c r="G49" s="20" t="inlineStr">
        <is>
          <t>Joggers</t>
        </is>
      </c>
    </row>
    <row r="50">
      <c r="A50" s="20" t="inlineStr">
        <is>
          <t>Junk Mail</t>
        </is>
      </c>
      <c r="B50" s="20" t="inlineStr">
        <is>
          <t>TOP</t>
        </is>
      </c>
      <c r="C50" s="20" t="inlineStr">
        <is>
          <t>RIGHT</t>
        </is>
      </c>
      <c r="D50" s="20" t="n">
        <v>1</v>
      </c>
      <c r="E50" s="20" t="n">
        <v>1</v>
      </c>
      <c r="F50" s="20" t="inlineStr">
        <is>
          <t>MATCH</t>
        </is>
      </c>
      <c r="G50" s="20" t="inlineStr">
        <is>
          <t>Junk Mail</t>
        </is>
      </c>
    </row>
    <row r="51">
      <c r="A51" s="20" t="inlineStr">
        <is>
          <t>KKK</t>
        </is>
      </c>
      <c r="B51" s="20" t="inlineStr">
        <is>
          <t>TOP</t>
        </is>
      </c>
      <c r="C51" s="20" t="inlineStr">
        <is>
          <t>BOTTOM</t>
        </is>
      </c>
      <c r="D51" s="20" t="n">
        <v>1</v>
      </c>
      <c r="E51" s="20" t="n">
        <v>1</v>
      </c>
      <c r="F51" s="20" t="inlineStr">
        <is>
          <t>MATCH</t>
        </is>
      </c>
      <c r="G51" s="20" t="inlineStr">
        <is>
          <t>KKK</t>
        </is>
      </c>
    </row>
    <row r="52">
      <c r="A52" s="20" t="inlineStr">
        <is>
          <t>L-4 Society</t>
        </is>
      </c>
      <c r="B52" s="20" t="inlineStr">
        <is>
          <t>TOP</t>
        </is>
      </c>
      <c r="C52" s="20" t="inlineStr">
        <is>
          <t>LEFT</t>
        </is>
      </c>
      <c r="D52" s="20" t="n">
        <v>1</v>
      </c>
      <c r="E52" s="20" t="n">
        <v>1</v>
      </c>
      <c r="F52" s="20" t="inlineStr">
        <is>
          <t>MATCH</t>
        </is>
      </c>
      <c r="G52" s="20" t="inlineStr">
        <is>
          <t>L-4 Society</t>
        </is>
      </c>
    </row>
    <row r="53">
      <c r="A53" s="20" t="inlineStr">
        <is>
          <t>Lawyers</t>
        </is>
      </c>
      <c r="B53" s="20" t="inlineStr">
        <is>
          <t>TOP</t>
        </is>
      </c>
      <c r="C53" s="20" t="inlineStr">
        <is>
          <t>BOTTOM, RIGHT</t>
        </is>
      </c>
      <c r="D53" s="20" t="n">
        <v>2</v>
      </c>
      <c r="E53" s="20" t="n">
        <v>2</v>
      </c>
      <c r="F53" s="20" t="inlineStr">
        <is>
          <t>MATCH</t>
        </is>
      </c>
      <c r="G53" s="20" t="inlineStr">
        <is>
          <t>Lawyers</t>
        </is>
      </c>
    </row>
    <row r="54">
      <c r="A54" s="20" t="inlineStr">
        <is>
          <t>Libertarians</t>
        </is>
      </c>
      <c r="B54" s="20" t="inlineStr">
        <is>
          <t>TOP</t>
        </is>
      </c>
      <c r="C54" s="20" t="inlineStr">
        <is>
          <t>LEFT</t>
        </is>
      </c>
      <c r="D54" s="20" t="n">
        <v>1</v>
      </c>
      <c r="E54" s="20" t="n">
        <v>1</v>
      </c>
      <c r="F54" s="20" t="inlineStr">
        <is>
          <t>MATCH</t>
        </is>
      </c>
      <c r="G54" s="20" t="inlineStr">
        <is>
          <t>Libertarians</t>
        </is>
      </c>
    </row>
    <row r="55">
      <c r="A55" s="20" t="inlineStr">
        <is>
          <t>Liquor Companies</t>
        </is>
      </c>
      <c r="B55" s="20" t="inlineStr">
        <is>
          <t>TOP</t>
        </is>
      </c>
      <c r="C55" s="20" t="inlineStr">
        <is>
          <t>BOTTOM, LEFT</t>
        </is>
      </c>
      <c r="D55" s="20" t="n">
        <v>2</v>
      </c>
      <c r="E55" s="20" t="n">
        <v>2</v>
      </c>
      <c r="F55" s="20" t="inlineStr">
        <is>
          <t>MATCH</t>
        </is>
      </c>
      <c r="G55" s="20" t="inlineStr">
        <is>
          <t>Liquor Companies</t>
        </is>
      </c>
    </row>
    <row r="56">
      <c r="A56" s="20" t="inlineStr">
        <is>
          <t>Loan Sharks</t>
        </is>
      </c>
      <c r="B56" s="20" t="inlineStr">
        <is>
          <t>TOP</t>
        </is>
      </c>
      <c r="C56" s="20" t="inlineStr">
        <is>
          <t>LEFT, RIGHT</t>
        </is>
      </c>
      <c r="D56" s="20" t="n">
        <v>2</v>
      </c>
      <c r="E56" s="20" t="n">
        <v>2</v>
      </c>
      <c r="F56" s="20" t="inlineStr">
        <is>
          <t>MATCH</t>
        </is>
      </c>
      <c r="G56" s="20" t="inlineStr">
        <is>
          <t>Loan Sharks</t>
        </is>
      </c>
    </row>
    <row r="57">
      <c r="A57" s="20" t="inlineStr">
        <is>
          <t>Local Police Departments</t>
        </is>
      </c>
      <c r="B57" s="20" t="inlineStr">
        <is>
          <t>TOP</t>
        </is>
      </c>
      <c r="C57" s="20" t="inlineStr">
        <is>
          <t>NONE</t>
        </is>
      </c>
      <c r="D57" s="20" t="n">
        <v>0</v>
      </c>
      <c r="E57" s="20" t="n">
        <v>0</v>
      </c>
      <c r="F57" s="20" t="inlineStr">
        <is>
          <t>MATCH</t>
        </is>
      </c>
      <c r="G57" s="20" t="inlineStr">
        <is>
          <t>Local Police Departments</t>
        </is>
      </c>
    </row>
    <row r="58">
      <c r="A58" s="20" t="inlineStr">
        <is>
          <t>Madison Avenue</t>
        </is>
      </c>
      <c r="B58" s="20" t="inlineStr">
        <is>
          <t>BOTTOM</t>
        </is>
      </c>
      <c r="C58" s="20" t="inlineStr">
        <is>
          <t>TOP, LEFT</t>
        </is>
      </c>
      <c r="D58" s="20" t="n">
        <v>2</v>
      </c>
      <c r="E58" s="20" t="n">
        <v>2</v>
      </c>
      <c r="F58" s="20" t="inlineStr">
        <is>
          <t>MATCH</t>
        </is>
      </c>
      <c r="G58" s="20" t="inlineStr">
        <is>
          <t>Madison Avenue</t>
        </is>
      </c>
    </row>
    <row r="59">
      <c r="A59" s="20" t="inlineStr">
        <is>
          <t>MI-5</t>
        </is>
      </c>
      <c r="B59" s="20" t="inlineStr">
        <is>
          <t>BOTTOM</t>
        </is>
      </c>
      <c r="C59" s="20" t="inlineStr">
        <is>
          <t>TOP</t>
        </is>
      </c>
      <c r="D59" s="20" t="n">
        <v>1</v>
      </c>
      <c r="E59" s="20" t="n">
        <v>1</v>
      </c>
      <c r="F59" s="20" t="inlineStr">
        <is>
          <t>MATCH</t>
        </is>
      </c>
      <c r="G59" s="20" t="inlineStr">
        <is>
          <t>MI-5</t>
        </is>
      </c>
    </row>
    <row r="60">
      <c r="A60" s="20" t="inlineStr">
        <is>
          <t>Moonies</t>
        </is>
      </c>
      <c r="B60" s="20" t="inlineStr">
        <is>
          <t>BOTTOM</t>
        </is>
      </c>
      <c r="C60" s="20" t="inlineStr">
        <is>
          <t>TOP</t>
        </is>
      </c>
      <c r="D60" s="20" t="n">
        <v>1</v>
      </c>
      <c r="E60" s="20" t="n">
        <v>1</v>
      </c>
      <c r="F60" s="20" t="inlineStr">
        <is>
          <t>MATCH</t>
        </is>
      </c>
      <c r="G60" s="20" t="inlineStr">
        <is>
          <t>Moonies</t>
        </is>
      </c>
    </row>
    <row r="61">
      <c r="A61" s="20" t="inlineStr">
        <is>
          <t>Moral Minority</t>
        </is>
      </c>
      <c r="B61" s="20" t="inlineStr">
        <is>
          <t>TOP</t>
        </is>
      </c>
      <c r="C61" s="20" t="inlineStr">
        <is>
          <t>RIGHT</t>
        </is>
      </c>
      <c r="D61" s="20" t="n">
        <v>1</v>
      </c>
      <c r="E61" s="20" t="n">
        <v>1</v>
      </c>
      <c r="F61" s="20" t="inlineStr">
        <is>
          <t>MATCH</t>
        </is>
      </c>
      <c r="G61" s="20" t="inlineStr">
        <is>
          <t>Moral Minority</t>
        </is>
      </c>
    </row>
    <row r="62">
      <c r="A62" s="20" t="inlineStr">
        <is>
          <t>Mossad</t>
        </is>
      </c>
      <c r="B62" s="20" t="inlineStr">
        <is>
          <t>TOP</t>
        </is>
      </c>
      <c r="C62" s="20" t="inlineStr">
        <is>
          <t>BOTTOM</t>
        </is>
      </c>
      <c r="D62" s="20" t="n">
        <v>1</v>
      </c>
      <c r="E62" s="20" t="n">
        <v>1</v>
      </c>
      <c r="F62" s="20" t="inlineStr">
        <is>
          <t>MATCH</t>
        </is>
      </c>
      <c r="G62" s="20" t="inlineStr">
        <is>
          <t>Mossad</t>
        </is>
      </c>
    </row>
    <row r="63">
      <c r="A63" s="20" t="inlineStr">
        <is>
          <t>Multinational Oil Companies</t>
        </is>
      </c>
      <c r="B63" s="20" t="inlineStr">
        <is>
          <t>BOTTOM</t>
        </is>
      </c>
      <c r="C63" s="20" t="inlineStr">
        <is>
          <t>TOP, LEFT, RIGHT</t>
        </is>
      </c>
      <c r="D63" s="20" t="n">
        <v>3</v>
      </c>
      <c r="E63" s="20" t="n">
        <v>3</v>
      </c>
      <c r="F63" s="20" t="inlineStr">
        <is>
          <t>MATCH</t>
        </is>
      </c>
      <c r="G63" s="20" t="inlineStr">
        <is>
          <t>Multinational Oil Companies</t>
        </is>
      </c>
    </row>
    <row r="64">
      <c r="A64" s="20" t="inlineStr">
        <is>
          <t>NASA</t>
        </is>
      </c>
      <c r="B64" s="20" t="inlineStr">
        <is>
          <t>TOP</t>
        </is>
      </c>
      <c r="C64" s="20" t="inlineStr">
        <is>
          <t>RIGHT</t>
        </is>
      </c>
      <c r="D64" s="20" t="n">
        <v>1</v>
      </c>
      <c r="E64" s="20" t="n">
        <v>1</v>
      </c>
      <c r="F64" s="20" t="inlineStr">
        <is>
          <t>MATCH</t>
        </is>
      </c>
      <c r="G64" s="20" t="inlineStr">
        <is>
          <t>NASA</t>
        </is>
      </c>
    </row>
    <row r="65">
      <c r="A65" s="20" t="inlineStr">
        <is>
          <t>NATO</t>
        </is>
      </c>
      <c r="B65" s="20" t="inlineStr">
        <is>
          <t>TOP</t>
        </is>
      </c>
      <c r="C65" s="20" t="inlineStr">
        <is>
          <t>LEFT</t>
        </is>
      </c>
      <c r="D65" s="20" t="n">
        <v>1</v>
      </c>
      <c r="E65" s="20" t="n">
        <v>1</v>
      </c>
      <c r="F65" s="20" t="inlineStr">
        <is>
          <t>MATCH</t>
        </is>
      </c>
      <c r="G65" s="20" t="inlineStr">
        <is>
          <t>NATO</t>
        </is>
      </c>
    </row>
    <row r="66">
      <c r="A66" s="20" t="inlineStr">
        <is>
          <t>Nephews of God</t>
        </is>
      </c>
      <c r="B66" s="20" t="inlineStr">
        <is>
          <t>TOP</t>
        </is>
      </c>
      <c r="C66" s="20" t="inlineStr">
        <is>
          <t>NONE</t>
        </is>
      </c>
      <c r="D66" s="20" t="n">
        <v>0</v>
      </c>
      <c r="E66" s="20" t="n">
        <v>0</v>
      </c>
      <c r="F66" s="20" t="inlineStr">
        <is>
          <t>MATCH</t>
        </is>
      </c>
      <c r="G66" s="20" t="inlineStr">
        <is>
          <t>Nephews of God</t>
        </is>
      </c>
    </row>
    <row r="67">
      <c r="A67" s="20" t="inlineStr">
        <is>
          <t>Ninjas</t>
        </is>
      </c>
      <c r="B67" s="20" t="inlineStr">
        <is>
          <t>BOTTOM</t>
        </is>
      </c>
      <c r="C67" s="20" t="inlineStr">
        <is>
          <t>TOP</t>
        </is>
      </c>
      <c r="D67" s="20" t="n">
        <v>1</v>
      </c>
      <c r="E67" s="20" t="n">
        <v>1</v>
      </c>
      <c r="F67" s="20" t="inlineStr">
        <is>
          <t>MATCH</t>
        </is>
      </c>
      <c r="G67" s="20" t="inlineStr">
        <is>
          <t>Ninjas</t>
        </is>
      </c>
    </row>
    <row r="68">
      <c r="A68" s="20" t="inlineStr">
        <is>
          <t>N.S.A.</t>
        </is>
      </c>
      <c r="B68" s="20" t="inlineStr">
        <is>
          <t>BOTTOM</t>
        </is>
      </c>
      <c r="C68" s="20" t="inlineStr">
        <is>
          <t>TOP, LEFT, RIGHT</t>
        </is>
      </c>
      <c r="D68" s="20" t="n">
        <v>3</v>
      </c>
      <c r="E68" s="20" t="n">
        <v>3</v>
      </c>
      <c r="F68" s="20" t="inlineStr">
        <is>
          <t>MATCH</t>
        </is>
      </c>
      <c r="G68" s="20" t="inlineStr">
        <is>
          <t>N.S.A.</t>
        </is>
      </c>
    </row>
    <row r="69">
      <c r="A69" s="20" t="inlineStr">
        <is>
          <t>Nuclear Power Companies</t>
        </is>
      </c>
      <c r="B69" s="20" t="inlineStr">
        <is>
          <t>TOP</t>
        </is>
      </c>
      <c r="C69" s="20" t="inlineStr">
        <is>
          <t>LEFT, RIGHT</t>
        </is>
      </c>
      <c r="D69" s="20" t="n">
        <v>2</v>
      </c>
      <c r="E69" s="20" t="n">
        <v>2</v>
      </c>
      <c r="F69" s="20" t="inlineStr">
        <is>
          <t>MATCH</t>
        </is>
      </c>
      <c r="G69" s="20" t="inlineStr">
        <is>
          <t>Nuclear Power Companies</t>
        </is>
      </c>
    </row>
    <row r="70">
      <c r="A70" s="20" t="inlineStr">
        <is>
          <t>Offshore Banks</t>
        </is>
      </c>
      <c r="B70" s="20" t="inlineStr">
        <is>
          <t>BOTTOM</t>
        </is>
      </c>
      <c r="C70" s="20" t="inlineStr">
        <is>
          <t>TOP</t>
        </is>
      </c>
      <c r="D70" s="20" t="n">
        <v>1</v>
      </c>
      <c r="E70" s="20" t="n">
        <v>1</v>
      </c>
      <c r="F70" s="20" t="inlineStr">
        <is>
          <t>MATCH</t>
        </is>
      </c>
      <c r="G70" s="20" t="inlineStr">
        <is>
          <t>Offshore Banks</t>
        </is>
      </c>
    </row>
    <row r="71">
      <c r="A71" s="20" t="inlineStr">
        <is>
          <t>OPEC</t>
        </is>
      </c>
      <c r="B71" s="20" t="inlineStr">
        <is>
          <t>TOP</t>
        </is>
      </c>
      <c r="C71" s="20" t="inlineStr">
        <is>
          <t>BOTTOM, RIGHT</t>
        </is>
      </c>
      <c r="D71" s="20" t="n">
        <v>2</v>
      </c>
      <c r="E71" s="20" t="n">
        <v>2</v>
      </c>
      <c r="F71" s="20" t="inlineStr">
        <is>
          <t>MATCH</t>
        </is>
      </c>
      <c r="G71" s="20" t="inlineStr">
        <is>
          <t>OPEC</t>
        </is>
      </c>
    </row>
    <row r="72">
      <c r="A72" s="20" t="inlineStr">
        <is>
          <t>Paranoids</t>
        </is>
      </c>
      <c r="B72" s="20" t="inlineStr">
        <is>
          <t>TOP</t>
        </is>
      </c>
      <c r="C72" s="20" t="inlineStr">
        <is>
          <t>NONE</t>
        </is>
      </c>
      <c r="D72" s="20" t="n">
        <v>0</v>
      </c>
      <c r="E72" s="20" t="n">
        <v>0</v>
      </c>
      <c r="F72" s="20" t="inlineStr">
        <is>
          <t>MATCH</t>
        </is>
      </c>
      <c r="G72" s="20" t="inlineStr">
        <is>
          <t>Paranoids</t>
        </is>
      </c>
    </row>
    <row r="73">
      <c r="A73" s="20" t="inlineStr">
        <is>
          <t>Phone Company</t>
        </is>
      </c>
      <c r="B73" s="20" t="inlineStr">
        <is>
          <t>TOP</t>
        </is>
      </c>
      <c r="C73" s="20" t="inlineStr">
        <is>
          <t>BOTTOM, LEFT</t>
        </is>
      </c>
      <c r="D73" s="20" t="n">
        <v>2</v>
      </c>
      <c r="E73" s="20" t="n">
        <v>2</v>
      </c>
      <c r="F73" s="20" t="inlineStr">
        <is>
          <t>MATCH</t>
        </is>
      </c>
      <c r="G73" s="20" t="inlineStr">
        <is>
          <t>Phone Company</t>
        </is>
      </c>
    </row>
    <row r="74">
      <c r="A74" s="20" t="inlineStr">
        <is>
          <t>Phone Phreaks</t>
        </is>
      </c>
      <c r="B74" s="20" t="inlineStr">
        <is>
          <t>TOP</t>
        </is>
      </c>
      <c r="C74" s="20" t="inlineStr">
        <is>
          <t>NONE</t>
        </is>
      </c>
      <c r="D74" s="20" t="n">
        <v>0</v>
      </c>
      <c r="E74" s="20" t="n">
        <v>0</v>
      </c>
      <c r="F74" s="20" t="inlineStr">
        <is>
          <t>MATCH</t>
        </is>
      </c>
      <c r="G74" s="20" t="inlineStr">
        <is>
          <t>Phone Phreaks</t>
        </is>
      </c>
    </row>
    <row r="75">
      <c r="A75" s="20" t="inlineStr">
        <is>
          <t>Pollsters</t>
        </is>
      </c>
      <c r="B75" s="20" t="inlineStr">
        <is>
          <t>TOP</t>
        </is>
      </c>
      <c r="C75" s="20" t="inlineStr">
        <is>
          <t>RIGHT</t>
        </is>
      </c>
      <c r="D75" s="20" t="n">
        <v>1</v>
      </c>
      <c r="E75" s="20" t="n">
        <v>1</v>
      </c>
      <c r="F75" s="20" t="inlineStr">
        <is>
          <t>MATCH</t>
        </is>
      </c>
      <c r="G75" s="20" t="inlineStr">
        <is>
          <t>Pollsters</t>
        </is>
      </c>
    </row>
    <row r="76">
      <c r="A76" s="20" t="inlineStr">
        <is>
          <t>Post Office</t>
        </is>
      </c>
      <c r="B76" s="20" t="inlineStr">
        <is>
          <t>TOP</t>
        </is>
      </c>
      <c r="C76" s="20" t="inlineStr">
        <is>
          <t>BOTTOM</t>
        </is>
      </c>
      <c r="D76" s="20" t="n">
        <v>1</v>
      </c>
      <c r="E76" s="20" t="n">
        <v>1</v>
      </c>
      <c r="F76" s="20" t="inlineStr">
        <is>
          <t>MATCH</t>
        </is>
      </c>
      <c r="G76" s="20" t="inlineStr">
        <is>
          <t>Post Office</t>
        </is>
      </c>
    </row>
    <row r="77">
      <c r="A77" s="20" t="inlineStr">
        <is>
          <t>Professional Sports</t>
        </is>
      </c>
      <c r="B77" s="20" t="inlineStr">
        <is>
          <t>TOP</t>
        </is>
      </c>
      <c r="C77" s="20" t="inlineStr">
        <is>
          <t>LEFT, RIGHT</t>
        </is>
      </c>
      <c r="D77" s="20" t="n">
        <v>2</v>
      </c>
      <c r="E77" s="20" t="n">
        <v>2</v>
      </c>
      <c r="F77" s="20" t="inlineStr">
        <is>
          <t>MATCH</t>
        </is>
      </c>
      <c r="G77" s="20" t="inlineStr">
        <is>
          <t>Professional Sports</t>
        </is>
      </c>
    </row>
    <row r="78">
      <c r="A78" s="20" t="inlineStr">
        <is>
          <t>Psychiatrists</t>
        </is>
      </c>
      <c r="B78" s="20" t="inlineStr">
        <is>
          <t>TOP</t>
        </is>
      </c>
      <c r="C78" s="20" t="inlineStr">
        <is>
          <t>NONE</t>
        </is>
      </c>
      <c r="D78" s="20" t="n">
        <v>0</v>
      </c>
      <c r="E78" s="20" t="n">
        <v>0</v>
      </c>
      <c r="F78" s="20" t="inlineStr">
        <is>
          <t>MATCH</t>
        </is>
      </c>
      <c r="G78" s="20" t="inlineStr">
        <is>
          <t>Psychiatrists</t>
        </is>
      </c>
    </row>
    <row r="79">
      <c r="A79" s="20" t="inlineStr">
        <is>
          <t>Punk Rockers</t>
        </is>
      </c>
      <c r="B79" s="20" t="inlineStr">
        <is>
          <t>TOP</t>
        </is>
      </c>
      <c r="C79" s="20" t="inlineStr">
        <is>
          <t>NONE</t>
        </is>
      </c>
      <c r="D79" s="20" t="n">
        <v>0</v>
      </c>
      <c r="E79" s="20" t="n">
        <v>0</v>
      </c>
      <c r="F79" s="20" t="inlineStr">
        <is>
          <t>MATCH</t>
        </is>
      </c>
      <c r="G79" s="20" t="inlineStr">
        <is>
          <t>Punk Rockers</t>
        </is>
      </c>
    </row>
    <row r="80">
      <c r="A80" s="20" t="inlineStr">
        <is>
          <t>Recording Industry</t>
        </is>
      </c>
      <c r="B80" s="20" t="inlineStr">
        <is>
          <t>BOTTOM</t>
        </is>
      </c>
      <c r="C80" s="20" t="inlineStr">
        <is>
          <t>TOP, LEFT</t>
        </is>
      </c>
      <c r="D80" s="20" t="n">
        <v>2</v>
      </c>
      <c r="E80" s="20" t="n">
        <v>2</v>
      </c>
      <c r="F80" s="20" t="inlineStr">
        <is>
          <t>MATCH</t>
        </is>
      </c>
      <c r="G80" s="20" t="inlineStr">
        <is>
          <t>Recording Industry</t>
        </is>
      </c>
    </row>
    <row r="81">
      <c r="A81" s="20" t="inlineStr">
        <is>
          <t>Red Cross</t>
        </is>
      </c>
      <c r="B81" s="20" t="inlineStr">
        <is>
          <t>BOTTOM</t>
        </is>
      </c>
      <c r="C81" s="20" t="inlineStr">
        <is>
          <t>TOP, RIGHT</t>
        </is>
      </c>
      <c r="D81" s="20" t="n">
        <v>2</v>
      </c>
      <c r="E81" s="20" t="n">
        <v>2</v>
      </c>
      <c r="F81" s="20" t="inlineStr">
        <is>
          <t>MATCH</t>
        </is>
      </c>
      <c r="G81" s="20" t="inlineStr">
        <is>
          <t>Red Cross</t>
        </is>
      </c>
    </row>
    <row r="82">
      <c r="A82" s="20" t="inlineStr">
        <is>
          <t>Reformed Church of Satan</t>
        </is>
      </c>
      <c r="B82" s="20" t="inlineStr">
        <is>
          <t>TOP</t>
        </is>
      </c>
      <c r="C82" s="20" t="inlineStr">
        <is>
          <t>LEFT, RIGHT</t>
        </is>
      </c>
      <c r="D82" s="20" t="n">
        <v>2</v>
      </c>
      <c r="E82" s="20" t="n">
        <v>2</v>
      </c>
      <c r="F82" s="20" t="inlineStr">
        <is>
          <t>MATCH</t>
        </is>
      </c>
      <c r="G82" s="20" t="inlineStr">
        <is>
          <t>Reformed Church of Satan</t>
        </is>
      </c>
    </row>
    <row r="83">
      <c r="A83" s="20" t="inlineStr">
        <is>
          <t>Religious Reich</t>
        </is>
      </c>
      <c r="B83" s="20" t="inlineStr">
        <is>
          <t>TOP</t>
        </is>
      </c>
      <c r="C83" s="20" t="inlineStr">
        <is>
          <t>BOTTOM, RIGHT</t>
        </is>
      </c>
      <c r="D83" s="20" t="n">
        <v>2</v>
      </c>
      <c r="E83" s="20" t="n">
        <v>2</v>
      </c>
      <c r="F83" s="20" t="inlineStr">
        <is>
          <t>MATCH</t>
        </is>
      </c>
      <c r="G83" s="20" t="inlineStr">
        <is>
          <t>Religious Reich</t>
        </is>
      </c>
    </row>
    <row r="84">
      <c r="A84" s="20" t="inlineStr">
        <is>
          <t>Republicans</t>
        </is>
      </c>
      <c r="B84" s="20" t="inlineStr">
        <is>
          <t>TOP</t>
        </is>
      </c>
      <c r="C84" s="20" t="inlineStr">
        <is>
          <t>BOTTOM, LEFT</t>
        </is>
      </c>
      <c r="D84" s="20" t="n">
        <v>2</v>
      </c>
      <c r="E84" s="20" t="n">
        <v>2</v>
      </c>
      <c r="F84" s="20" t="inlineStr">
        <is>
          <t>MATCH</t>
        </is>
      </c>
      <c r="G84" s="20" t="inlineStr">
        <is>
          <t>Republicans</t>
        </is>
      </c>
    </row>
    <row r="85">
      <c r="A85" s="20" t="inlineStr">
        <is>
          <t>Rifkinites</t>
        </is>
      </c>
      <c r="B85" s="20" t="inlineStr">
        <is>
          <t>TOP</t>
        </is>
      </c>
      <c r="C85" s="20" t="inlineStr">
        <is>
          <t>LEFT, RIGHT</t>
        </is>
      </c>
      <c r="D85" s="20" t="n">
        <v>2</v>
      </c>
      <c r="E85" s="20" t="n">
        <v>2</v>
      </c>
      <c r="F85" s="20" t="inlineStr">
        <is>
          <t>MATCH</t>
        </is>
      </c>
      <c r="G85" s="20" t="inlineStr">
        <is>
          <t>Rifkinites</t>
        </is>
      </c>
    </row>
    <row r="86">
      <c r="A86" s="20" t="inlineStr">
        <is>
          <t>Robot Sea Monsters</t>
        </is>
      </c>
      <c r="B86" s="20" t="inlineStr">
        <is>
          <t>TOP</t>
        </is>
      </c>
      <c r="C86" s="20" t="inlineStr">
        <is>
          <t>NONE</t>
        </is>
      </c>
      <c r="D86" s="20" t="n">
        <v>0</v>
      </c>
      <c r="E86" s="20" t="n">
        <v>0</v>
      </c>
      <c r="F86" s="20" t="inlineStr">
        <is>
          <t>MATCH</t>
        </is>
      </c>
      <c r="G86" s="20" t="inlineStr">
        <is>
          <t>Robot Sea Monsters</t>
        </is>
      </c>
    </row>
    <row r="87">
      <c r="A87" s="20" t="inlineStr">
        <is>
          <t>Rosicrucians</t>
        </is>
      </c>
      <c r="B87" s="20" t="inlineStr">
        <is>
          <t>TOP</t>
        </is>
      </c>
      <c r="C87" s="20" t="inlineStr">
        <is>
          <t>LEFT</t>
        </is>
      </c>
      <c r="D87" s="20" t="n">
        <v>1</v>
      </c>
      <c r="E87" s="20" t="n">
        <v>1</v>
      </c>
      <c r="F87" s="20" t="inlineStr">
        <is>
          <t>MATCH</t>
        </is>
      </c>
      <c r="G87" s="20" t="inlineStr">
        <is>
          <t>Rosicrucians</t>
        </is>
      </c>
    </row>
    <row r="88">
      <c r="A88" s="20" t="inlineStr">
        <is>
          <t>Saturday Morning Cartoons</t>
        </is>
      </c>
      <c r="B88" s="20" t="inlineStr">
        <is>
          <t>TOP</t>
        </is>
      </c>
      <c r="C88" s="20" t="inlineStr">
        <is>
          <t>LEFT</t>
        </is>
      </c>
      <c r="D88" s="20" t="n">
        <v>1</v>
      </c>
      <c r="E88" s="20" t="n">
        <v>1</v>
      </c>
      <c r="F88" s="20" t="inlineStr">
        <is>
          <t>MATCH</t>
        </is>
      </c>
      <c r="G88" s="20" t="inlineStr">
        <is>
          <t>Saturday Morning Cartoons</t>
        </is>
      </c>
    </row>
    <row r="89">
      <c r="A89" s="20" t="inlineStr">
        <is>
          <t>Savings and Loans</t>
        </is>
      </c>
      <c r="B89" s="20" t="inlineStr">
        <is>
          <t>BOTTOM</t>
        </is>
      </c>
      <c r="C89" s="20" t="inlineStr">
        <is>
          <t>TOP, LEFT</t>
        </is>
      </c>
      <c r="D89" s="20" t="n">
        <v>2</v>
      </c>
      <c r="E89" s="20" t="n">
        <v>2</v>
      </c>
      <c r="F89" s="20" t="inlineStr">
        <is>
          <t>MATCH</t>
        </is>
      </c>
      <c r="G89" s="20" t="inlineStr">
        <is>
          <t>Savings and Loans</t>
        </is>
      </c>
    </row>
    <row r="90">
      <c r="A90" s="20" t="inlineStr">
        <is>
          <t>Science Fiction Fans</t>
        </is>
      </c>
      <c r="B90" s="20" t="inlineStr">
        <is>
          <t>TOP</t>
        </is>
      </c>
      <c r="C90" s="20" t="inlineStr">
        <is>
          <t>NONE</t>
        </is>
      </c>
      <c r="D90" s="20" t="n">
        <v>0</v>
      </c>
      <c r="E90" s="20" t="n">
        <v>0</v>
      </c>
      <c r="F90" s="20" t="inlineStr">
        <is>
          <t>MATCH</t>
        </is>
      </c>
      <c r="G90" s="20" t="inlineStr">
        <is>
          <t>Science Fiction Fans</t>
        </is>
      </c>
    </row>
    <row r="91">
      <c r="A91" s="20" t="inlineStr">
        <is>
          <t>Secret Service</t>
        </is>
      </c>
      <c r="B91" s="20" t="inlineStr">
        <is>
          <t>TOP</t>
        </is>
      </c>
      <c r="C91" s="20" t="inlineStr">
        <is>
          <t>NONE</t>
        </is>
      </c>
      <c r="D91" s="20" t="n">
        <v>0</v>
      </c>
      <c r="E91" s="20" t="n">
        <v>0</v>
      </c>
      <c r="F91" s="20" t="inlineStr">
        <is>
          <t>MATCH</t>
        </is>
      </c>
      <c r="G91" s="20" t="inlineStr">
        <is>
          <t>Secret Service</t>
        </is>
      </c>
    </row>
    <row r="92">
      <c r="A92" s="20" t="inlineStr">
        <is>
          <t>Secular Humanists</t>
        </is>
      </c>
      <c r="B92" s="20" t="inlineStr">
        <is>
          <t>BOTTOM</t>
        </is>
      </c>
      <c r="C92" s="20" t="inlineStr">
        <is>
          <t>TOP</t>
        </is>
      </c>
      <c r="D92" s="20" t="n">
        <v>1</v>
      </c>
      <c r="E92" s="20" t="n">
        <v>1</v>
      </c>
      <c r="F92" s="20" t="inlineStr">
        <is>
          <t>MATCH</t>
        </is>
      </c>
      <c r="G92" s="20" t="inlineStr">
        <is>
          <t>Secular Humanists</t>
        </is>
      </c>
    </row>
    <row r="93">
      <c r="A93" s="20" t="inlineStr">
        <is>
          <t>Semiconscious Liberation Army</t>
        </is>
      </c>
      <c r="B93" s="20" t="inlineStr">
        <is>
          <t>BOTTOM</t>
        </is>
      </c>
      <c r="C93" s="20" t="inlineStr">
        <is>
          <t>TOP</t>
        </is>
      </c>
      <c r="D93" s="20" t="n">
        <v>1</v>
      </c>
      <c r="E93" s="20" t="n">
        <v>1</v>
      </c>
      <c r="F93" s="20" t="inlineStr">
        <is>
          <t>MATCH</t>
        </is>
      </c>
      <c r="G93" s="20" t="inlineStr">
        <is>
          <t>Semiconscious Liberation Army</t>
        </is>
      </c>
    </row>
    <row r="94">
      <c r="A94" s="20" t="inlineStr">
        <is>
          <t>S.M.O.F.</t>
        </is>
      </c>
      <c r="B94" s="20" t="inlineStr">
        <is>
          <t>BOTTOM</t>
        </is>
      </c>
      <c r="C94" s="20" t="inlineStr">
        <is>
          <t>TOP, RIGHT</t>
        </is>
      </c>
      <c r="D94" s="20" t="n">
        <v>2</v>
      </c>
      <c r="E94" s="20" t="n">
        <v>2</v>
      </c>
      <c r="F94" s="20" t="inlineStr">
        <is>
          <t>MATCH</t>
        </is>
      </c>
      <c r="G94" s="20" t="inlineStr">
        <is>
          <t>S.M.O.F.</t>
        </is>
      </c>
    </row>
    <row r="95">
      <c r="A95" s="20" t="inlineStr">
        <is>
          <t>Society for Creative Anarchism</t>
        </is>
      </c>
      <c r="B95" s="20" t="inlineStr">
        <is>
          <t>BOTTOM</t>
        </is>
      </c>
      <c r="C95" s="20" t="inlineStr">
        <is>
          <t>TOP, LEFT</t>
        </is>
      </c>
      <c r="D95" s="20" t="n">
        <v>2</v>
      </c>
      <c r="E95" s="20" t="n">
        <v>2</v>
      </c>
      <c r="F95" s="20" t="inlineStr">
        <is>
          <t>MATCH</t>
        </is>
      </c>
      <c r="G95" s="20" t="inlineStr">
        <is>
          <t>Society for Creative Anarchism</t>
        </is>
      </c>
    </row>
    <row r="96">
      <c r="A96" s="20" t="inlineStr">
        <is>
          <t>South American Nazis</t>
        </is>
      </c>
      <c r="B96" s="20" t="inlineStr">
        <is>
          <t>TOP</t>
        </is>
      </c>
      <c r="C96" s="20" t="inlineStr">
        <is>
          <t>LEFT, RIGHT</t>
        </is>
      </c>
      <c r="D96" s="20" t="n">
        <v>2</v>
      </c>
      <c r="E96" s="20" t="n">
        <v>2</v>
      </c>
      <c r="F96" s="20" t="inlineStr">
        <is>
          <t>MATCH</t>
        </is>
      </c>
      <c r="G96" s="20" t="inlineStr">
        <is>
          <t>South American Nazis</t>
        </is>
      </c>
    </row>
    <row r="97">
      <c r="A97" s="20" t="inlineStr">
        <is>
          <t>Subliminals</t>
        </is>
      </c>
      <c r="B97" s="20" t="inlineStr">
        <is>
          <t>TOP</t>
        </is>
      </c>
      <c r="C97" s="20" t="inlineStr">
        <is>
          <t>NONE</t>
        </is>
      </c>
      <c r="D97" s="20" t="n">
        <v>0</v>
      </c>
      <c r="E97" s="20" t="n">
        <v>0</v>
      </c>
      <c r="F97" s="20" t="inlineStr">
        <is>
          <t>MATCH</t>
        </is>
      </c>
      <c r="G97" s="20" t="inlineStr">
        <is>
          <t>Subliminals</t>
        </is>
      </c>
    </row>
    <row r="98">
      <c r="A98" s="20" t="inlineStr">
        <is>
          <t>Supreme Court</t>
        </is>
      </c>
      <c r="B98" s="20" t="inlineStr">
        <is>
          <t>TOP</t>
        </is>
      </c>
      <c r="C98" s="20" t="inlineStr">
        <is>
          <t>LEFT, RIGHT</t>
        </is>
      </c>
      <c r="D98" s="20" t="n">
        <v>2</v>
      </c>
      <c r="E98" s="20" t="n">
        <v>2</v>
      </c>
      <c r="F98" s="20" t="inlineStr">
        <is>
          <t>MATCH</t>
        </is>
      </c>
      <c r="G98" s="20" t="inlineStr">
        <is>
          <t>Supreme Court</t>
        </is>
      </c>
    </row>
    <row r="99">
      <c r="A99" s="20" t="inlineStr">
        <is>
          <t>Survivalists</t>
        </is>
      </c>
      <c r="B99" s="20" t="inlineStr">
        <is>
          <t>TOP</t>
        </is>
      </c>
      <c r="C99" s="20" t="inlineStr">
        <is>
          <t>NONE</t>
        </is>
      </c>
      <c r="D99" s="20" t="n">
        <v>0</v>
      </c>
      <c r="E99" s="20" t="n">
        <v>0</v>
      </c>
      <c r="F99" s="20" t="inlineStr">
        <is>
          <t>MATCH</t>
        </is>
      </c>
      <c r="G99" s="20" t="inlineStr">
        <is>
          <t>Survivalists</t>
        </is>
      </c>
    </row>
    <row r="100">
      <c r="A100" s="20" t="inlineStr">
        <is>
          <t>Tabloids</t>
        </is>
      </c>
      <c r="B100" s="20" t="inlineStr">
        <is>
          <t>TOP</t>
        </is>
      </c>
      <c r="C100" s="20" t="inlineStr">
        <is>
          <t>RIGHT</t>
        </is>
      </c>
      <c r="D100" s="20" t="n">
        <v>1</v>
      </c>
      <c r="E100" s="20" t="n">
        <v>1</v>
      </c>
      <c r="F100" s="20" t="inlineStr">
        <is>
          <t>MATCH</t>
        </is>
      </c>
      <c r="G100" s="20" t="inlineStr">
        <is>
          <t>Tabloids</t>
        </is>
      </c>
    </row>
    <row r="101">
      <c r="A101" s="20" t="inlineStr">
        <is>
          <t>Telephone Psychics</t>
        </is>
      </c>
      <c r="B101" s="20" t="inlineStr">
        <is>
          <t>BOTTOM</t>
        </is>
      </c>
      <c r="C101" s="20" t="inlineStr">
        <is>
          <t>TOP</t>
        </is>
      </c>
      <c r="D101" s="20" t="n">
        <v>1</v>
      </c>
      <c r="E101" s="20" t="n">
        <v>1</v>
      </c>
      <c r="F101" s="20" t="inlineStr">
        <is>
          <t>MATCH</t>
        </is>
      </c>
      <c r="G101" s="20" t="inlineStr">
        <is>
          <t>Telephone Psychics</t>
        </is>
      </c>
    </row>
    <row r="102">
      <c r="A102" s="20" t="inlineStr">
        <is>
          <t>Templars</t>
        </is>
      </c>
      <c r="B102" s="20" t="inlineStr">
        <is>
          <t>TOP</t>
        </is>
      </c>
      <c r="C102" s="20" t="inlineStr">
        <is>
          <t>RIGHT</t>
        </is>
      </c>
      <c r="D102" s="20" t="n">
        <v>1</v>
      </c>
      <c r="E102" s="20" t="n">
        <v>1</v>
      </c>
      <c r="F102" s="20" t="inlineStr">
        <is>
          <t>MATCH</t>
        </is>
      </c>
      <c r="G102" s="20" t="inlineStr">
        <is>
          <t>Templars</t>
        </is>
      </c>
    </row>
    <row r="103">
      <c r="A103" s="20" t="inlineStr">
        <is>
          <t>The Mafia</t>
        </is>
      </c>
      <c r="B103" s="20" t="inlineStr">
        <is>
          <t>BOTTOM</t>
        </is>
      </c>
      <c r="C103" s="20" t="inlineStr">
        <is>
          <t>TOP, LEFT, RIGHT</t>
        </is>
      </c>
      <c r="D103" s="20" t="n">
        <v>2</v>
      </c>
      <c r="E103" s="20" t="n">
        <v>3</v>
      </c>
      <c r="F103" s="20" t="inlineStr">
        <is>
          <t>COUNT CORRECTED</t>
        </is>
      </c>
      <c r="G103" s="20" t="inlineStr">
        <is>
          <t>The Mafia</t>
        </is>
      </c>
    </row>
    <row r="104">
      <c r="A104" s="20" t="inlineStr">
        <is>
          <t>The Men In Black</t>
        </is>
      </c>
      <c r="B104" s="20" t="inlineStr">
        <is>
          <t>TOP</t>
        </is>
      </c>
      <c r="C104" s="20" t="inlineStr">
        <is>
          <t>NONE</t>
        </is>
      </c>
      <c r="D104" s="20" t="n">
        <v>0</v>
      </c>
      <c r="E104" s="20" t="n">
        <v>0</v>
      </c>
      <c r="F104" s="20" t="inlineStr">
        <is>
          <t>MATCH</t>
        </is>
      </c>
      <c r="G104" s="20" t="inlineStr">
        <is>
          <t>The Men in Black</t>
        </is>
      </c>
    </row>
    <row r="105">
      <c r="A105" s="20" t="inlineStr">
        <is>
          <t>Tobacco Companies</t>
        </is>
      </c>
      <c r="B105" s="20" t="inlineStr">
        <is>
          <t>TOP</t>
        </is>
      </c>
      <c r="C105" s="20" t="inlineStr">
        <is>
          <t>BOTTOM, RIGHT</t>
        </is>
      </c>
      <c r="D105" s="20" t="n">
        <v>2</v>
      </c>
      <c r="E105" s="20" t="n">
        <v>2</v>
      </c>
      <c r="F105" s="20" t="inlineStr">
        <is>
          <t>MATCH</t>
        </is>
      </c>
      <c r="G105" s="20" t="inlineStr">
        <is>
          <t>Tobacco Companies</t>
        </is>
      </c>
    </row>
    <row r="106">
      <c r="A106" s="20" t="inlineStr">
        <is>
          <t>Trekkies</t>
        </is>
      </c>
      <c r="B106" s="20" t="inlineStr">
        <is>
          <t>TOP</t>
        </is>
      </c>
      <c r="C106" s="20" t="inlineStr">
        <is>
          <t>BOTTOM</t>
        </is>
      </c>
      <c r="D106" s="20" t="n">
        <v>1</v>
      </c>
      <c r="E106" s="20" t="n">
        <v>1</v>
      </c>
      <c r="F106" s="20" t="inlineStr">
        <is>
          <t>MATCH</t>
        </is>
      </c>
      <c r="G106" s="20" t="inlineStr">
        <is>
          <t>Trekkies</t>
        </is>
      </c>
    </row>
    <row r="107">
      <c r="A107" s="20" t="inlineStr">
        <is>
          <t>Triliberal Commission</t>
        </is>
      </c>
      <c r="B107" s="20" t="inlineStr">
        <is>
          <t>TOP</t>
        </is>
      </c>
      <c r="C107" s="20" t="inlineStr">
        <is>
          <t>BOTTOM, LEFT</t>
        </is>
      </c>
      <c r="D107" s="20" t="n">
        <v>2</v>
      </c>
      <c r="E107" s="20" t="n">
        <v>2</v>
      </c>
      <c r="F107" s="20" t="inlineStr">
        <is>
          <t>MATCH</t>
        </is>
      </c>
      <c r="G107" s="20" t="inlineStr">
        <is>
          <t>Triliberal Commission</t>
        </is>
      </c>
    </row>
    <row r="108">
      <c r="A108" s="20" t="inlineStr">
        <is>
          <t>TV Preachers</t>
        </is>
      </c>
      <c r="B108" s="20" t="inlineStr">
        <is>
          <t>TOP</t>
        </is>
      </c>
      <c r="C108" s="20" t="inlineStr">
        <is>
          <t>LEFT, RIGHT</t>
        </is>
      </c>
      <c r="D108" s="20" t="n">
        <v>2</v>
      </c>
      <c r="E108" s="20" t="n">
        <v>2</v>
      </c>
      <c r="F108" s="20" t="inlineStr">
        <is>
          <t>MATCH</t>
        </is>
      </c>
      <c r="G108" s="20" t="inlineStr">
        <is>
          <t>TV Preachers</t>
        </is>
      </c>
    </row>
    <row r="109">
      <c r="A109" s="20" t="inlineStr">
        <is>
          <t>Underground Newspapers</t>
        </is>
      </c>
      <c r="B109" s="20" t="inlineStr">
        <is>
          <t>TOP</t>
        </is>
      </c>
      <c r="C109" s="20" t="inlineStr">
        <is>
          <t>BOTTOM</t>
        </is>
      </c>
      <c r="D109" s="20" t="n">
        <v>1</v>
      </c>
      <c r="E109" s="20" t="n">
        <v>1</v>
      </c>
      <c r="F109" s="20" t="inlineStr">
        <is>
          <t>MATCH</t>
        </is>
      </c>
      <c r="G109" s="20" t="inlineStr">
        <is>
          <t>Underground Newspapers</t>
        </is>
      </c>
    </row>
    <row r="110">
      <c r="A110" s="20" t="inlineStr">
        <is>
          <t>United Nations</t>
        </is>
      </c>
      <c r="B110" s="20" t="inlineStr">
        <is>
          <t>TOP</t>
        </is>
      </c>
      <c r="C110" s="20" t="inlineStr">
        <is>
          <t>RIGHT</t>
        </is>
      </c>
      <c r="D110" s="20" t="n">
        <v>1</v>
      </c>
      <c r="E110" s="20" t="n">
        <v>1</v>
      </c>
      <c r="F110" s="20" t="inlineStr">
        <is>
          <t>MATCH</t>
        </is>
      </c>
      <c r="G110" s="20" t="inlineStr">
        <is>
          <t>United Nations</t>
        </is>
      </c>
    </row>
    <row r="111">
      <c r="A111" s="20" t="inlineStr">
        <is>
          <t>Urban Gangs</t>
        </is>
      </c>
      <c r="B111" s="20" t="inlineStr">
        <is>
          <t>TOP</t>
        </is>
      </c>
      <c r="C111" s="20" t="inlineStr">
        <is>
          <t>NONE</t>
        </is>
      </c>
      <c r="D111" s="20" t="n">
        <v>0</v>
      </c>
      <c r="E111" s="20" t="n">
        <v>0</v>
      </c>
      <c r="F111" s="20" t="inlineStr">
        <is>
          <t>MATCH</t>
        </is>
      </c>
      <c r="G111" s="20" t="inlineStr">
        <is>
          <t>Urban Gangs</t>
        </is>
      </c>
    </row>
    <row r="112">
      <c r="A112" s="20" t="inlineStr">
        <is>
          <t>Vampires</t>
        </is>
      </c>
      <c r="B112" s="20" t="inlineStr">
        <is>
          <t>TOP</t>
        </is>
      </c>
      <c r="C112" s="20" t="inlineStr">
        <is>
          <t>LEFT</t>
        </is>
      </c>
      <c r="D112" s="20" t="n">
        <v>1</v>
      </c>
      <c r="E112" s="20" t="n">
        <v>1</v>
      </c>
      <c r="F112" s="20" t="inlineStr">
        <is>
          <t>MATCH</t>
        </is>
      </c>
      <c r="G112" s="20" t="inlineStr">
        <is>
          <t>Vampires</t>
        </is>
      </c>
    </row>
    <row r="113">
      <c r="A113" s="20" t="inlineStr">
        <is>
          <t>Video Games</t>
        </is>
      </c>
      <c r="B113" s="20" t="inlineStr">
        <is>
          <t>BOTTOM</t>
        </is>
      </c>
      <c r="C113" s="20" t="inlineStr">
        <is>
          <t>TOP</t>
        </is>
      </c>
      <c r="D113" s="20" t="n">
        <v>1</v>
      </c>
      <c r="E113" s="20" t="n">
        <v>1</v>
      </c>
      <c r="F113" s="20" t="inlineStr">
        <is>
          <t>MATCH</t>
        </is>
      </c>
      <c r="G113" s="20" t="inlineStr">
        <is>
          <t>Video Games</t>
        </is>
      </c>
    </row>
    <row r="114">
      <c r="A114" s="20" t="inlineStr">
        <is>
          <t>Voudonistas</t>
        </is>
      </c>
      <c r="B114" s="20" t="inlineStr">
        <is>
          <t>TOP</t>
        </is>
      </c>
      <c r="C114" s="20" t="inlineStr">
        <is>
          <t>RIGHT</t>
        </is>
      </c>
      <c r="D114" s="20" t="n">
        <v>1</v>
      </c>
      <c r="E114" s="20" t="n">
        <v>1</v>
      </c>
      <c r="F114" s="20" t="inlineStr">
        <is>
          <t>MATCH</t>
        </is>
      </c>
      <c r="G114" s="20" t="inlineStr">
        <is>
          <t>Voudonistas</t>
        </is>
      </c>
    </row>
    <row r="115">
      <c r="A115" s="20" t="inlineStr">
        <is>
          <t>Wall Street</t>
        </is>
      </c>
      <c r="B115" s="20" t="inlineStr">
        <is>
          <t>TOP</t>
        </is>
      </c>
      <c r="C115" s="20" t="inlineStr">
        <is>
          <t>BOTTOM, LEFT, RIGHT</t>
        </is>
      </c>
      <c r="D115" s="20" t="n">
        <v>3</v>
      </c>
      <c r="E115" s="20" t="n">
        <v>3</v>
      </c>
      <c r="F115" s="20" t="inlineStr">
        <is>
          <t>MATCH</t>
        </is>
      </c>
      <c r="G115" s="20" t="inlineStr">
        <is>
          <t>Wall Street</t>
        </is>
      </c>
    </row>
    <row r="116">
      <c r="A116" s="20" t="inlineStr">
        <is>
          <t>Wargamers</t>
        </is>
      </c>
      <c r="B116" s="20" t="inlineStr">
        <is>
          <t>TOP</t>
        </is>
      </c>
      <c r="C116" s="20" t="inlineStr">
        <is>
          <t>NONE</t>
        </is>
      </c>
      <c r="D116" s="20" t="n">
        <v>0</v>
      </c>
      <c r="E116" s="20" t="n">
        <v>0</v>
      </c>
      <c r="F116" s="20" t="inlineStr">
        <is>
          <t>MATCH</t>
        </is>
      </c>
      <c r="G116" s="20" t="inlineStr">
        <is>
          <t>Wargamers</t>
        </is>
      </c>
    </row>
    <row r="117">
      <c r="A117" s="20" t="inlineStr">
        <is>
          <t>W.I.T.C.H.</t>
        </is>
      </c>
      <c r="B117" s="20" t="inlineStr">
        <is>
          <t>TOP</t>
        </is>
      </c>
      <c r="C117" s="20" t="inlineStr">
        <is>
          <t>BOTTOM</t>
        </is>
      </c>
      <c r="D117" s="20" t="n">
        <v>1</v>
      </c>
      <c r="E117" s="20" t="n">
        <v>1</v>
      </c>
      <c r="F117" s="20" t="inlineStr">
        <is>
          <t>MATCH</t>
        </is>
      </c>
      <c r="G117" s="20" t="inlineStr">
        <is>
          <t>W.I.T.C.H.</t>
        </is>
      </c>
    </row>
    <row r="118">
      <c r="A118" s="20" t="inlineStr">
        <is>
          <t>Al Gore</t>
        </is>
      </c>
      <c r="B118" s="20" t="inlineStr">
        <is>
          <t>TOP</t>
        </is>
      </c>
      <c r="C118" s="20" t="inlineStr">
        <is>
          <t>BOTTOM, RIGHT</t>
        </is>
      </c>
      <c r="D118" s="20" t="n">
        <v>2</v>
      </c>
      <c r="E118" s="20" t="n">
        <v>2</v>
      </c>
      <c r="F118" s="20" t="inlineStr">
        <is>
          <t>MATCH</t>
        </is>
      </c>
      <c r="G118" s="20" t="inlineStr">
        <is>
          <t>Al Gore</t>
        </is>
      </c>
    </row>
    <row r="119">
      <c r="A119" s="20" t="inlineStr">
        <is>
          <t>Bill Clinton</t>
        </is>
      </c>
      <c r="B119" s="20" t="inlineStr">
        <is>
          <t>TOP</t>
        </is>
      </c>
      <c r="C119" s="20" t="inlineStr">
        <is>
          <t>LEFT, RIGHT</t>
        </is>
      </c>
      <c r="D119" s="20" t="n">
        <v>2</v>
      </c>
      <c r="E119" s="20" t="n">
        <v>2</v>
      </c>
      <c r="F119" s="20" t="inlineStr">
        <is>
          <t>MATCH</t>
        </is>
      </c>
      <c r="G119" s="20" t="inlineStr">
        <is>
          <t>Bill Clinton</t>
        </is>
      </c>
    </row>
    <row r="120">
      <c r="A120" s="20" t="inlineStr">
        <is>
          <t>Bjorne</t>
        </is>
      </c>
      <c r="B120" s="20" t="inlineStr">
        <is>
          <t>BOTTOM</t>
        </is>
      </c>
      <c r="C120" s="20" t="inlineStr">
        <is>
          <t>TOP</t>
        </is>
      </c>
      <c r="D120" s="20" t="n">
        <v>1</v>
      </c>
      <c r="E120" s="20" t="n">
        <v>1</v>
      </c>
      <c r="F120" s="20" t="inlineStr">
        <is>
          <t>MATCH</t>
        </is>
      </c>
      <c r="G120" s="20" t="inlineStr">
        <is>
          <t>Bjorne</t>
        </is>
      </c>
    </row>
    <row r="121">
      <c r="A121" s="20" t="inlineStr">
        <is>
          <t>Count Dracula</t>
        </is>
      </c>
      <c r="B121" s="20" t="inlineStr">
        <is>
          <t>TOP</t>
        </is>
      </c>
      <c r="C121" s="20" t="inlineStr">
        <is>
          <t>RIGHT</t>
        </is>
      </c>
      <c r="D121" s="20" t="n">
        <v>1</v>
      </c>
      <c r="E121" s="20" t="n">
        <v>1</v>
      </c>
      <c r="F121" s="20" t="inlineStr">
        <is>
          <t>MATCH</t>
        </is>
      </c>
      <c r="G121" s="20" t="inlineStr">
        <is>
          <t>Count Dracula</t>
        </is>
      </c>
    </row>
    <row r="122">
      <c r="A122" s="20" t="inlineStr">
        <is>
          <t>Dan Quayle</t>
        </is>
      </c>
      <c r="B122" s="20" t="inlineStr">
        <is>
          <t>TOP</t>
        </is>
      </c>
      <c r="C122" s="20" t="inlineStr">
        <is>
          <t>LEFT</t>
        </is>
      </c>
      <c r="D122" s="20" t="n">
        <v>1</v>
      </c>
      <c r="E122" s="20" t="n">
        <v>1</v>
      </c>
      <c r="F122" s="20" t="inlineStr">
        <is>
          <t>MATCH</t>
        </is>
      </c>
      <c r="G122" s="20" t="inlineStr">
        <is>
          <t>Dan Quayle</t>
        </is>
      </c>
    </row>
    <row r="123">
      <c r="A123" s="20" t="inlineStr">
        <is>
          <t>Elvis</t>
        </is>
      </c>
      <c r="B123" s="20" t="inlineStr">
        <is>
          <t>TOP</t>
        </is>
      </c>
      <c r="C123" s="20" t="inlineStr">
        <is>
          <t>RIGHT</t>
        </is>
      </c>
      <c r="D123" s="20" t="n">
        <v>1</v>
      </c>
      <c r="E123" s="20" t="n">
        <v>1</v>
      </c>
      <c r="F123" s="20" t="inlineStr">
        <is>
          <t>MATCH</t>
        </is>
      </c>
      <c r="G123" s="20" t="inlineStr">
        <is>
          <t>Elvis</t>
        </is>
      </c>
    </row>
    <row r="124">
      <c r="A124" s="20" t="inlineStr">
        <is>
          <t>Fidel Castro</t>
        </is>
      </c>
      <c r="B124" s="20" t="inlineStr">
        <is>
          <t>TOP</t>
        </is>
      </c>
      <c r="C124" s="20" t="inlineStr">
        <is>
          <t>BOTTOM</t>
        </is>
      </c>
      <c r="D124" s="20" t="n">
        <v>1</v>
      </c>
      <c r="E124" s="20" t="n">
        <v>1</v>
      </c>
      <c r="F124" s="20" t="inlineStr">
        <is>
          <t>MATCH</t>
        </is>
      </c>
      <c r="G124" s="20" t="inlineStr">
        <is>
          <t>Fidel Castro</t>
        </is>
      </c>
    </row>
    <row r="125">
      <c r="A125" s="20" t="inlineStr">
        <is>
          <t>George Bush</t>
        </is>
      </c>
      <c r="B125" s="20" t="inlineStr">
        <is>
          <t>TOP</t>
        </is>
      </c>
      <c r="C125" s="20" t="inlineStr">
        <is>
          <t>RIGHT</t>
        </is>
      </c>
      <c r="D125" s="20" t="n">
        <v>1</v>
      </c>
      <c r="E125" s="20" t="n">
        <v>1</v>
      </c>
      <c r="F125" s="20" t="inlineStr">
        <is>
          <t>MATCH</t>
        </is>
      </c>
      <c r="G125" s="20" t="inlineStr">
        <is>
          <t>George Bush</t>
        </is>
      </c>
    </row>
    <row r="126">
      <c r="A126" s="20" t="inlineStr">
        <is>
          <t>Gordo Remora</t>
        </is>
      </c>
      <c r="B126" s="20" t="inlineStr">
        <is>
          <t>TOP</t>
        </is>
      </c>
      <c r="C126" s="20" t="inlineStr">
        <is>
          <t>RIGHT</t>
        </is>
      </c>
      <c r="D126" s="20" t="n">
        <v>1</v>
      </c>
      <c r="E126" s="20" t="n">
        <v>1</v>
      </c>
      <c r="F126" s="20" t="inlineStr">
        <is>
          <t>MATCH</t>
        </is>
      </c>
      <c r="G126" s="20" t="inlineStr">
        <is>
          <t>Gordo Remora</t>
        </is>
      </c>
    </row>
    <row r="127">
      <c r="A127" s="20" t="inlineStr">
        <is>
          <t>Hillary Clinton</t>
        </is>
      </c>
      <c r="B127" s="20" t="inlineStr">
        <is>
          <t>TOP</t>
        </is>
      </c>
      <c r="C127" s="20" t="inlineStr">
        <is>
          <t>RIGHT</t>
        </is>
      </c>
      <c r="D127" s="20" t="n">
        <v>1</v>
      </c>
      <c r="E127" s="20" t="n">
        <v>1</v>
      </c>
      <c r="F127" s="20" t="inlineStr">
        <is>
          <t>MATCH</t>
        </is>
      </c>
      <c r="G127" s="20" t="inlineStr">
        <is>
          <t>Hillary Clinton</t>
        </is>
      </c>
    </row>
    <row r="128">
      <c r="A128" s="20" t="inlineStr">
        <is>
          <t>Imelda Marcos</t>
        </is>
      </c>
      <c r="B128" s="20" t="inlineStr">
        <is>
          <t>TOP</t>
        </is>
      </c>
      <c r="C128" s="20" t="inlineStr">
        <is>
          <t>LEFT</t>
        </is>
      </c>
      <c r="D128" s="20" t="n">
        <v>1</v>
      </c>
      <c r="E128" s="20" t="n">
        <v>1</v>
      </c>
      <c r="F128" s="20" t="inlineStr">
        <is>
          <t>MATCH</t>
        </is>
      </c>
      <c r="G128" s="20" t="inlineStr">
        <is>
          <t>Imelda Marcos</t>
        </is>
      </c>
    </row>
    <row r="129">
      <c r="A129" s="20" t="inlineStr">
        <is>
          <t>Jimmy Hoffa</t>
        </is>
      </c>
      <c r="B129" s="20" t="inlineStr">
        <is>
          <t>TOP</t>
        </is>
      </c>
      <c r="C129" s="20" t="inlineStr">
        <is>
          <t>LEFT</t>
        </is>
      </c>
      <c r="D129" s="20" t="n">
        <v>1</v>
      </c>
      <c r="E129" s="20" t="n">
        <v>1</v>
      </c>
      <c r="F129" s="20" t="inlineStr">
        <is>
          <t>MATCH</t>
        </is>
      </c>
      <c r="G129" s="20" t="inlineStr">
        <is>
          <t>Jimmy Hoffa</t>
        </is>
      </c>
    </row>
    <row r="130">
      <c r="A130" s="20" t="inlineStr">
        <is>
          <t>Manuel Noriega</t>
        </is>
      </c>
      <c r="B130" s="20" t="inlineStr">
        <is>
          <t>TOP</t>
        </is>
      </c>
      <c r="C130" s="20" t="inlineStr">
        <is>
          <t>NONE</t>
        </is>
      </c>
      <c r="D130" s="20" t="n">
        <v>0</v>
      </c>
      <c r="E130" s="20" t="n">
        <v>0</v>
      </c>
      <c r="F130" s="20" t="inlineStr">
        <is>
          <t>MATCH</t>
        </is>
      </c>
      <c r="G130" s="20" t="inlineStr">
        <is>
          <t>Manuel Noriega</t>
        </is>
      </c>
    </row>
    <row r="131">
      <c r="A131" s="20" t="inlineStr">
        <is>
          <t>Margaret Thatcher</t>
        </is>
      </c>
      <c r="B131" s="20" t="inlineStr">
        <is>
          <t>TOP</t>
        </is>
      </c>
      <c r="C131" s="20" t="inlineStr">
        <is>
          <t>RIGHT</t>
        </is>
      </c>
      <c r="D131" s="20" t="n">
        <v>1</v>
      </c>
      <c r="E131" s="20" t="n">
        <v>1</v>
      </c>
      <c r="F131" s="20" t="inlineStr">
        <is>
          <t>MATCH</t>
        </is>
      </c>
      <c r="G131" s="20" t="inlineStr">
        <is>
          <t>Margaret Thatcher</t>
        </is>
      </c>
    </row>
    <row r="132">
      <c r="A132" s="20" t="inlineStr">
        <is>
          <t>Media Sensation</t>
        </is>
      </c>
      <c r="B132" s="20" t="inlineStr">
        <is>
          <t>TOP</t>
        </is>
      </c>
      <c r="C132" s="20" t="inlineStr">
        <is>
          <t>NONE</t>
        </is>
      </c>
      <c r="D132" s="20" t="n">
        <v>0</v>
      </c>
      <c r="E132" s="20" t="n">
        <v>0</v>
      </c>
      <c r="F132" s="20" t="inlineStr">
        <is>
          <t>MATCH</t>
        </is>
      </c>
      <c r="G132" s="20" t="inlineStr">
        <is>
          <t>Media Sensation</t>
        </is>
      </c>
    </row>
    <row r="133">
      <c r="A133" s="20" t="inlineStr">
        <is>
          <t>Nancy Reagan</t>
        </is>
      </c>
      <c r="B133" s="20" t="inlineStr">
        <is>
          <t>TOP</t>
        </is>
      </c>
      <c r="C133" s="20" t="inlineStr">
        <is>
          <t>RIGHT</t>
        </is>
      </c>
      <c r="D133" s="20" t="n">
        <v>1</v>
      </c>
      <c r="E133" s="20" t="n">
        <v>1</v>
      </c>
      <c r="F133" s="20" t="inlineStr">
        <is>
          <t>MATCH</t>
        </is>
      </c>
      <c r="G133" s="20" t="inlineStr">
        <is>
          <t>Nancy Reagan</t>
        </is>
      </c>
    </row>
    <row r="134">
      <c r="A134" s="20" t="inlineStr">
        <is>
          <t>Ollie North</t>
        </is>
      </c>
      <c r="B134" s="20" t="inlineStr">
        <is>
          <t>TOP</t>
        </is>
      </c>
      <c r="C134" s="20" t="inlineStr">
        <is>
          <t>LEFT</t>
        </is>
      </c>
      <c r="D134" s="20" t="n">
        <v>1</v>
      </c>
      <c r="E134" s="20" t="n">
        <v>1</v>
      </c>
      <c r="F134" s="20" t="inlineStr">
        <is>
          <t>MATCH</t>
        </is>
      </c>
      <c r="G134" s="20" t="inlineStr">
        <is>
          <t>Ollie North</t>
        </is>
      </c>
    </row>
    <row r="135">
      <c r="A135" s="20" t="inlineStr">
        <is>
          <t>Prince Charles</t>
        </is>
      </c>
      <c r="B135" s="20" t="inlineStr">
        <is>
          <t>TOP</t>
        </is>
      </c>
      <c r="C135" s="20" t="inlineStr">
        <is>
          <t>BOTTOM</t>
        </is>
      </c>
      <c r="D135" s="20" t="n">
        <v>1</v>
      </c>
      <c r="E135" s="20" t="n">
        <v>1</v>
      </c>
      <c r="F135" s="20" t="inlineStr">
        <is>
          <t>MATCH</t>
        </is>
      </c>
      <c r="G135" s="20" t="inlineStr">
        <is>
          <t>Prince Charles</t>
        </is>
      </c>
    </row>
    <row r="136">
      <c r="A136" s="20" t="inlineStr">
        <is>
          <t>Princess Di</t>
        </is>
      </c>
      <c r="B136" s="20" t="inlineStr">
        <is>
          <t>TOP</t>
        </is>
      </c>
      <c r="C136" s="20" t="inlineStr">
        <is>
          <t>LEFT</t>
        </is>
      </c>
      <c r="D136" s="20" t="n">
        <v>1</v>
      </c>
      <c r="E136" s="20" t="n">
        <v>1</v>
      </c>
      <c r="F136" s="20" t="inlineStr">
        <is>
          <t>MATCH</t>
        </is>
      </c>
      <c r="G136" s="20" t="inlineStr">
        <is>
          <t>Princess Di</t>
        </is>
      </c>
    </row>
    <row r="137">
      <c r="A137" s="20" t="inlineStr">
        <is>
          <t>Ronald Reagan</t>
        </is>
      </c>
      <c r="B137" s="20" t="inlineStr">
        <is>
          <t>BOTTOM</t>
        </is>
      </c>
      <c r="C137" s="20" t="inlineStr">
        <is>
          <t>TOP</t>
        </is>
      </c>
      <c r="D137" s="20" t="n">
        <v>1</v>
      </c>
      <c r="E137" s="20" t="n">
        <v>1</v>
      </c>
      <c r="F137" s="20" t="inlineStr">
        <is>
          <t>MATCH</t>
        </is>
      </c>
      <c r="G137" s="20" t="inlineStr">
        <is>
          <t>Ronald Reagan</t>
        </is>
      </c>
    </row>
    <row r="138">
      <c r="A138" s="20" t="inlineStr">
        <is>
          <t>Ross Perot</t>
        </is>
      </c>
      <c r="B138" s="20" t="inlineStr">
        <is>
          <t>TOP</t>
        </is>
      </c>
      <c r="C138" s="20" t="inlineStr">
        <is>
          <t>LEFT, RIGHT</t>
        </is>
      </c>
      <c r="D138" s="20" t="n">
        <v>2</v>
      </c>
      <c r="E138" s="20" t="n">
        <v>2</v>
      </c>
      <c r="F138" s="20" t="inlineStr">
        <is>
          <t>MATCH</t>
        </is>
      </c>
      <c r="G138" s="20" t="inlineStr">
        <is>
          <t>Ross Perot</t>
        </is>
      </c>
    </row>
    <row r="139">
      <c r="A139" s="20" t="inlineStr">
        <is>
          <t>Saddam Hussein</t>
        </is>
      </c>
      <c r="B139" s="20" t="inlineStr">
        <is>
          <t>TOP</t>
        </is>
      </c>
      <c r="C139" s="20" t="inlineStr">
        <is>
          <t>BOTTOM</t>
        </is>
      </c>
      <c r="D139" s="20" t="n">
        <v>1</v>
      </c>
      <c r="E139" s="20" t="n">
        <v>1</v>
      </c>
      <c r="F139" s="20" t="inlineStr">
        <is>
          <t>MATCH</t>
        </is>
      </c>
      <c r="G139" s="20" t="inlineStr">
        <is>
          <t>Saddam Hussein</t>
        </is>
      </c>
    </row>
    <row r="140">
      <c r="A140" s="20" t="inlineStr">
        <is>
          <t>Brazil</t>
        </is>
      </c>
      <c r="B140" s="20" t="inlineStr">
        <is>
          <t>BOTTOM</t>
        </is>
      </c>
      <c r="C140" s="20" t="inlineStr">
        <is>
          <t>TOP, RIGHT</t>
        </is>
      </c>
      <c r="D140" s="20" t="n">
        <v>2</v>
      </c>
      <c r="E140" s="20" t="n">
        <v>2</v>
      </c>
      <c r="F140" s="20" t="inlineStr">
        <is>
          <t>MATCH</t>
        </is>
      </c>
      <c r="G140" s="20" t="inlineStr">
        <is>
          <t>Brazil</t>
        </is>
      </c>
    </row>
    <row r="141">
      <c r="A141" s="20" t="inlineStr">
        <is>
          <t>California</t>
        </is>
      </c>
      <c r="B141" s="20" t="inlineStr">
        <is>
          <t>TOP</t>
        </is>
      </c>
      <c r="C141" s="20" t="inlineStr">
        <is>
          <t>LEFT, RIGHT</t>
        </is>
      </c>
      <c r="D141" s="20" t="n">
        <v>2</v>
      </c>
      <c r="E141" s="20" t="n">
        <v>2</v>
      </c>
      <c r="F141" s="20" t="inlineStr">
        <is>
          <t>MATCH</t>
        </is>
      </c>
      <c r="G141" s="20" t="inlineStr">
        <is>
          <t>California</t>
        </is>
      </c>
    </row>
    <row r="142">
      <c r="A142" s="20" t="inlineStr">
        <is>
          <t>Canada</t>
        </is>
      </c>
      <c r="B142" s="20" t="inlineStr">
        <is>
          <t>TOP</t>
        </is>
      </c>
      <c r="C142" s="20" t="inlineStr">
        <is>
          <t>BOTTOM, RIGHT</t>
        </is>
      </c>
      <c r="D142" s="20" t="n">
        <v>2</v>
      </c>
      <c r="E142" s="20" t="n">
        <v>2</v>
      </c>
      <c r="F142" s="20" t="inlineStr">
        <is>
          <t>MATCH</t>
        </is>
      </c>
      <c r="G142" s="20" t="inlineStr">
        <is>
          <t>Canada</t>
        </is>
      </c>
    </row>
    <row r="143">
      <c r="A143" s="20" t="inlineStr">
        <is>
          <t>Center for Disease Control</t>
        </is>
      </c>
      <c r="B143" s="20" t="inlineStr">
        <is>
          <t>TOP</t>
        </is>
      </c>
      <c r="C143" s="20" t="inlineStr">
        <is>
          <t>NONE</t>
        </is>
      </c>
      <c r="D143" s="20" t="n">
        <v>0</v>
      </c>
      <c r="E143" s="20" t="n">
        <v>0</v>
      </c>
      <c r="F143" s="20" t="inlineStr">
        <is>
          <t>MATCH</t>
        </is>
      </c>
      <c r="G143" s="20" t="inlineStr">
        <is>
          <t>Center for Disease Control</t>
        </is>
      </c>
    </row>
    <row r="144">
      <c r="A144" s="20" t="inlineStr">
        <is>
          <t>China</t>
        </is>
      </c>
      <c r="B144" s="20" t="inlineStr">
        <is>
          <t>BOTTOM</t>
        </is>
      </c>
      <c r="C144" s="20" t="inlineStr">
        <is>
          <t>TOP, LEFT</t>
        </is>
      </c>
      <c r="D144" s="20" t="n">
        <v>2</v>
      </c>
      <c r="E144" s="20" t="n">
        <v>2</v>
      </c>
      <c r="F144" s="20" t="inlineStr">
        <is>
          <t>MATCH</t>
        </is>
      </c>
      <c r="G144" s="20" t="inlineStr">
        <is>
          <t>China</t>
        </is>
      </c>
    </row>
    <row r="145">
      <c r="A145" s="20" t="inlineStr">
        <is>
          <t>Dinosaur Park</t>
        </is>
      </c>
      <c r="B145" s="20" t="inlineStr">
        <is>
          <t>TOP</t>
        </is>
      </c>
      <c r="C145" s="20" t="inlineStr">
        <is>
          <t>LEFT</t>
        </is>
      </c>
      <c r="D145" s="20" t="n">
        <v>1</v>
      </c>
      <c r="E145" s="20" t="n">
        <v>1</v>
      </c>
      <c r="F145" s="20" t="inlineStr">
        <is>
          <t>MATCH</t>
        </is>
      </c>
      <c r="G145" s="20" t="inlineStr">
        <is>
          <t>Dinosaur Park</t>
        </is>
      </c>
    </row>
    <row r="146">
      <c r="A146" s="20" t="inlineStr">
        <is>
          <t>England</t>
        </is>
      </c>
      <c r="B146" s="20" t="inlineStr">
        <is>
          <t>TOP</t>
        </is>
      </c>
      <c r="C146" s="20" t="inlineStr">
        <is>
          <t>LEFT, RIGHT</t>
        </is>
      </c>
      <c r="D146" s="20" t="n">
        <v>2</v>
      </c>
      <c r="E146" s="20" t="n">
        <v>2</v>
      </c>
      <c r="F146" s="20" t="inlineStr">
        <is>
          <t>MATCH</t>
        </is>
      </c>
      <c r="G146" s="20" t="inlineStr">
        <is>
          <t>England</t>
        </is>
      </c>
    </row>
    <row r="147">
      <c r="A147" s="20" t="inlineStr">
        <is>
          <t>Finland</t>
        </is>
      </c>
      <c r="B147" s="20" t="inlineStr">
        <is>
          <t>TOP</t>
        </is>
      </c>
      <c r="C147" s="20" t="inlineStr">
        <is>
          <t>LEFT</t>
        </is>
      </c>
      <c r="D147" s="20" t="n">
        <v>1</v>
      </c>
      <c r="E147" s="20" t="n">
        <v>1</v>
      </c>
      <c r="F147" s="20" t="inlineStr">
        <is>
          <t>MATCH</t>
        </is>
      </c>
      <c r="G147" s="20" t="inlineStr">
        <is>
          <t>Finland</t>
        </is>
      </c>
    </row>
    <row r="148">
      <c r="A148" s="20" t="inlineStr">
        <is>
          <t>France</t>
        </is>
      </c>
      <c r="B148" s="20" t="inlineStr">
        <is>
          <t>BOTTOM</t>
        </is>
      </c>
      <c r="C148" s="20" t="inlineStr">
        <is>
          <t>TOP</t>
        </is>
      </c>
      <c r="D148" s="20" t="n">
        <v>1</v>
      </c>
      <c r="E148" s="20" t="n">
        <v>1</v>
      </c>
      <c r="F148" s="20" t="inlineStr">
        <is>
          <t>MATCH</t>
        </is>
      </c>
      <c r="G148" s="20" t="inlineStr">
        <is>
          <t>France</t>
        </is>
      </c>
    </row>
    <row r="149">
      <c r="A149" s="20" t="inlineStr">
        <is>
          <t>Germany</t>
        </is>
      </c>
      <c r="B149" s="20" t="inlineStr">
        <is>
          <t>BOTTOM</t>
        </is>
      </c>
      <c r="C149" s="20" t="inlineStr">
        <is>
          <t>TOP, LEFT, RIGHT</t>
        </is>
      </c>
      <c r="D149" s="20" t="n">
        <v>3</v>
      </c>
      <c r="E149" s="20" t="n">
        <v>3</v>
      </c>
      <c r="F149" s="20" t="inlineStr">
        <is>
          <t>MATCH</t>
        </is>
      </c>
      <c r="G149" s="20" t="inlineStr">
        <is>
          <t>Germany</t>
        </is>
      </c>
    </row>
    <row r="150">
      <c r="A150" s="20" t="inlineStr">
        <is>
          <t>Hawaii</t>
        </is>
      </c>
      <c r="B150" s="20" t="inlineStr">
        <is>
          <t>TOP</t>
        </is>
      </c>
      <c r="C150" s="20" t="inlineStr">
        <is>
          <t>BOTTOM</t>
        </is>
      </c>
      <c r="D150" s="20" t="n">
        <v>1</v>
      </c>
      <c r="E150" s="20" t="n">
        <v>1</v>
      </c>
      <c r="F150" s="20" t="inlineStr">
        <is>
          <t>MATCH</t>
        </is>
      </c>
      <c r="G150" s="20" t="inlineStr">
        <is>
          <t>Hawaii</t>
        </is>
      </c>
    </row>
    <row r="151">
      <c r="A151" s="20" t="inlineStr">
        <is>
          <t>Hollywood</t>
        </is>
      </c>
      <c r="B151" s="20" t="inlineStr">
        <is>
          <t>BOTTOM</t>
        </is>
      </c>
      <c r="C151" s="20" t="inlineStr">
        <is>
          <t>TOP, LEFT</t>
        </is>
      </c>
      <c r="D151" s="20" t="n">
        <v>2</v>
      </c>
      <c r="E151" s="20" t="n">
        <v>2</v>
      </c>
      <c r="F151" s="20" t="inlineStr">
        <is>
          <t>MATCH</t>
        </is>
      </c>
      <c r="G151" s="20" t="inlineStr">
        <is>
          <t>Hollywood</t>
        </is>
      </c>
    </row>
    <row r="152">
      <c r="A152" s="20" t="inlineStr">
        <is>
          <t>Israel</t>
        </is>
      </c>
      <c r="B152" s="20" t="inlineStr">
        <is>
          <t>TOP</t>
        </is>
      </c>
      <c r="C152" s="20" t="inlineStr">
        <is>
          <t>LEFT, RIGHT</t>
        </is>
      </c>
      <c r="D152" s="20" t="n">
        <v>2</v>
      </c>
      <c r="E152" s="20" t="n">
        <v>2</v>
      </c>
      <c r="F152" s="20" t="inlineStr">
        <is>
          <t>MATCH</t>
        </is>
      </c>
      <c r="G152" s="20" t="inlineStr">
        <is>
          <t>Israel</t>
        </is>
      </c>
    </row>
    <row r="153">
      <c r="A153" s="20" t="inlineStr">
        <is>
          <t>Italy</t>
        </is>
      </c>
      <c r="B153" s="20" t="inlineStr">
        <is>
          <t>TOP</t>
        </is>
      </c>
      <c r="C153" s="20" t="inlineStr">
        <is>
          <t>RIGHT</t>
        </is>
      </c>
      <c r="D153" s="20" t="n">
        <v>1</v>
      </c>
      <c r="E153" s="20" t="n">
        <v>1</v>
      </c>
      <c r="F153" s="20" t="inlineStr">
        <is>
          <t>MATCH</t>
        </is>
      </c>
      <c r="G153" s="20" t="inlineStr">
        <is>
          <t>Italy</t>
        </is>
      </c>
    </row>
    <row r="154">
      <c r="A154" s="20" t="inlineStr">
        <is>
          <t>Japan</t>
        </is>
      </c>
      <c r="B154" s="20" t="inlineStr">
        <is>
          <t>TOP</t>
        </is>
      </c>
      <c r="C154" s="20" t="inlineStr">
        <is>
          <t>BOTTOM, LEFT, RIGHT</t>
        </is>
      </c>
      <c r="D154" s="20" t="n">
        <v>3</v>
      </c>
      <c r="E154" s="20" t="n">
        <v>3</v>
      </c>
      <c r="F154" s="20" t="inlineStr">
        <is>
          <t>MATCH</t>
        </is>
      </c>
      <c r="G154" s="20" t="inlineStr">
        <is>
          <t>Japan</t>
        </is>
      </c>
    </row>
    <row r="155">
      <c r="A155" s="20" t="inlineStr">
        <is>
          <t>Las Vegas</t>
        </is>
      </c>
      <c r="B155" s="20" t="inlineStr">
        <is>
          <t>TOP</t>
        </is>
      </c>
      <c r="C155" s="20" t="inlineStr">
        <is>
          <t>LEFT</t>
        </is>
      </c>
      <c r="D155" s="20" t="n">
        <v>1</v>
      </c>
      <c r="E155" s="20" t="n">
        <v>1</v>
      </c>
      <c r="F155" s="20" t="inlineStr">
        <is>
          <t>MATCH</t>
        </is>
      </c>
      <c r="G155" s="20" t="inlineStr">
        <is>
          <t>Las Vegas</t>
        </is>
      </c>
    </row>
    <row r="156">
      <c r="A156" s="20" t="inlineStr">
        <is>
          <t>Moonbase</t>
        </is>
      </c>
      <c r="B156" s="20" t="inlineStr">
        <is>
          <t>TOP</t>
        </is>
      </c>
      <c r="C156" s="20" t="inlineStr">
        <is>
          <t>LEFT</t>
        </is>
      </c>
      <c r="D156" s="20" t="n">
        <v>1</v>
      </c>
      <c r="E156" s="20" t="n">
        <v>1</v>
      </c>
      <c r="F156" s="20" t="inlineStr">
        <is>
          <t>MATCH</t>
        </is>
      </c>
      <c r="G156" s="20" t="inlineStr">
        <is>
          <t>Moonbase</t>
        </is>
      </c>
    </row>
    <row r="157">
      <c r="A157" s="20" t="inlineStr">
        <is>
          <t>New York</t>
        </is>
      </c>
      <c r="B157" s="20" t="inlineStr">
        <is>
          <t>BOTTOM</t>
        </is>
      </c>
      <c r="C157" s="20" t="inlineStr">
        <is>
          <t>TOP, LEFT, RIGHT</t>
        </is>
      </c>
      <c r="D157" s="20" t="n">
        <v>3</v>
      </c>
      <c r="E157" s="20" t="n">
        <v>3</v>
      </c>
      <c r="F157" s="20" t="inlineStr">
        <is>
          <t>MATCH</t>
        </is>
      </c>
      <c r="G157" s="20" t="inlineStr">
        <is>
          <t>New York</t>
        </is>
      </c>
    </row>
    <row r="158">
      <c r="A158" s="20" t="inlineStr">
        <is>
          <t>Orbit One</t>
        </is>
      </c>
      <c r="B158" s="20" t="inlineStr">
        <is>
          <t>BOTTOM</t>
        </is>
      </c>
      <c r="C158" s="20" t="inlineStr">
        <is>
          <t>TOP, LEFT, RIGHT</t>
        </is>
      </c>
      <c r="D158" s="20" t="n">
        <v>3</v>
      </c>
      <c r="E158" s="20" t="n">
        <v>3</v>
      </c>
      <c r="F158" s="20" t="inlineStr">
        <is>
          <t>MATCH</t>
        </is>
      </c>
      <c r="G158" s="20" t="inlineStr">
        <is>
          <t>Orbit One</t>
        </is>
      </c>
    </row>
    <row r="159">
      <c r="A159" s="20" t="inlineStr">
        <is>
          <t>Pentagon</t>
        </is>
      </c>
      <c r="B159" s="20" t="inlineStr">
        <is>
          <t>TOP</t>
        </is>
      </c>
      <c r="C159" s="20" t="inlineStr">
        <is>
          <t>BOTTOM, LEFT, RIGHT</t>
        </is>
      </c>
      <c r="D159" s="20" t="n">
        <v>3</v>
      </c>
      <c r="E159" s="20" t="n">
        <v>3</v>
      </c>
      <c r="F159" s="20" t="inlineStr">
        <is>
          <t>MATCH</t>
        </is>
      </c>
      <c r="G159" s="20" t="inlineStr">
        <is>
          <t>Pentagon</t>
        </is>
      </c>
    </row>
    <row r="160">
      <c r="A160" s="20" t="inlineStr">
        <is>
          <t>Russia</t>
        </is>
      </c>
      <c r="B160" s="20" t="inlineStr">
        <is>
          <t>BOTTOM</t>
        </is>
      </c>
      <c r="C160" s="20" t="inlineStr">
        <is>
          <t>TOP, LEFT, RIGHT</t>
        </is>
      </c>
      <c r="D160" s="20" t="n">
        <v>3</v>
      </c>
      <c r="E160" s="20" t="n">
        <v>3</v>
      </c>
      <c r="F160" s="20" t="inlineStr">
        <is>
          <t>MATCH</t>
        </is>
      </c>
      <c r="G160" s="20" t="inlineStr">
        <is>
          <t>Russia</t>
        </is>
      </c>
    </row>
    <row r="161">
      <c r="A161" s="20" t="inlineStr">
        <is>
          <t>Silicon Valley</t>
        </is>
      </c>
      <c r="B161" s="20" t="inlineStr">
        <is>
          <t>BOTTOM</t>
        </is>
      </c>
      <c r="C161" s="20" t="inlineStr">
        <is>
          <t>TOP, RIGHT</t>
        </is>
      </c>
      <c r="D161" s="20" t="n">
        <v>2</v>
      </c>
      <c r="E161" s="20" t="n">
        <v>2</v>
      </c>
      <c r="F161" s="20" t="inlineStr">
        <is>
          <t>MATCH</t>
        </is>
      </c>
      <c r="G161" s="20" t="inlineStr">
        <is>
          <t>Silicon Valley</t>
        </is>
      </c>
    </row>
    <row r="162">
      <c r="A162" s="20" t="inlineStr">
        <is>
          <t>Stonehenge</t>
        </is>
      </c>
      <c r="B162" s="20" t="inlineStr">
        <is>
          <t>TOP</t>
        </is>
      </c>
      <c r="C162" s="20" t="inlineStr">
        <is>
          <t>NONE</t>
        </is>
      </c>
      <c r="D162" s="20" t="n">
        <v>0</v>
      </c>
      <c r="E162" s="20" t="n">
        <v>0</v>
      </c>
      <c r="F162" s="20" t="inlineStr">
        <is>
          <t>MATCH</t>
        </is>
      </c>
      <c r="G162" s="20" t="inlineStr">
        <is>
          <t>Stonehenge</t>
        </is>
      </c>
    </row>
    <row r="163">
      <c r="A163" s="20" t="inlineStr">
        <is>
          <t>Switzerland</t>
        </is>
      </c>
      <c r="B163" s="20" t="inlineStr">
        <is>
          <t>BOTTOM</t>
        </is>
      </c>
      <c r="C163" s="20" t="inlineStr">
        <is>
          <t>TOP</t>
        </is>
      </c>
      <c r="D163" s="20" t="n">
        <v>1</v>
      </c>
      <c r="E163" s="20" t="n">
        <v>1</v>
      </c>
      <c r="F163" s="20" t="inlineStr">
        <is>
          <t>MATCH</t>
        </is>
      </c>
      <c r="G163" s="20" t="inlineStr">
        <is>
          <t>Switzerland</t>
        </is>
      </c>
    </row>
    <row r="164">
      <c r="A164" s="20" t="inlineStr">
        <is>
          <t>Texas</t>
        </is>
      </c>
      <c r="B164" s="20" t="inlineStr">
        <is>
          <t>TOP</t>
        </is>
      </c>
      <c r="C164" s="20" t="inlineStr">
        <is>
          <t>BOTTOM, LEFT, RIGHT</t>
        </is>
      </c>
      <c r="D164" s="20" t="n">
        <v>3</v>
      </c>
      <c r="E164" s="20" t="n">
        <v>3</v>
      </c>
      <c r="F164" s="20" t="inlineStr">
        <is>
          <t>MATCH</t>
        </is>
      </c>
      <c r="G164" s="20" t="inlineStr">
        <is>
          <t>Texas</t>
        </is>
      </c>
    </row>
    <row r="165">
      <c r="A165" s="20" t="inlineStr">
        <is>
          <t>Vatican City</t>
        </is>
      </c>
      <c r="B165" s="20" t="inlineStr">
        <is>
          <t>BOTTOM</t>
        </is>
      </c>
      <c r="C165" s="20" t="inlineStr">
        <is>
          <t>TOP, LEFT, RIGHT</t>
        </is>
      </c>
      <c r="D165" s="20" t="n">
        <v>3</v>
      </c>
      <c r="E165" s="20" t="n">
        <v>3</v>
      </c>
      <c r="F165" s="20" t="inlineStr">
        <is>
          <t>MATCH</t>
        </is>
      </c>
      <c r="G165" s="20" t="inlineStr">
        <is>
          <t>Vatican City</t>
        </is>
      </c>
    </row>
    <row r="166">
      <c r="A166" s="20" t="inlineStr">
        <is>
          <t>The Great Pyramid</t>
        </is>
      </c>
      <c r="B166" s="20" t="inlineStr">
        <is>
          <t>TOP</t>
        </is>
      </c>
      <c r="C166" s="20" t="inlineStr">
        <is>
          <t>BOTTOM</t>
        </is>
      </c>
      <c r="D166" s="20" t="n">
        <v>1</v>
      </c>
      <c r="E166" s="20" t="n">
        <v>1</v>
      </c>
      <c r="F166" s="20" t="inlineStr">
        <is>
          <t>MATCH</t>
        </is>
      </c>
      <c r="G166" s="20" t="inlineStr">
        <is>
          <t>The Great Pyramid</t>
        </is>
      </c>
    </row>
    <row r="167">
      <c r="A167" s="20" t="inlineStr">
        <is>
          <t>Pyramid Marketing Schemes</t>
        </is>
      </c>
      <c r="B167" s="20" t="inlineStr">
        <is>
          <t>TOP</t>
        </is>
      </c>
      <c r="C167" s="20" t="inlineStr">
        <is>
          <t>RIGHT</t>
        </is>
      </c>
      <c r="D167" s="20" t="n">
        <v>1</v>
      </c>
      <c r="E167" s="20" t="n">
        <v>1</v>
      </c>
      <c r="F167" s="20" t="inlineStr">
        <is>
          <t>MATCH</t>
        </is>
      </c>
      <c r="G167" s="20" t="inlineStr">
        <is>
          <t>Pyramid Marketing Schemes</t>
        </is>
      </c>
    </row>
    <row r="168">
      <c r="A168" s="20" t="inlineStr">
        <is>
          <t>Trading Card Games</t>
        </is>
      </c>
      <c r="B168" s="20" t="inlineStr">
        <is>
          <t>TOP</t>
        </is>
      </c>
      <c r="C168" s="20" t="inlineStr">
        <is>
          <t>NONE</t>
        </is>
      </c>
      <c r="D168" s="20" t="n">
        <v>0</v>
      </c>
      <c r="E168" s="20" t="n">
        <v>0</v>
      </c>
      <c r="F168" s="20" t="inlineStr">
        <is>
          <t>MATCH</t>
        </is>
      </c>
      <c r="G168" s="20" t="inlineStr">
        <is>
          <t>Trading Card Games</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B43"/>
  <sheetViews>
    <sheetView tabSelected="0" workbookViewId="0">
      <selection activeCell="A1" sqref="A1"/>
    </sheetView>
  </sheetViews>
  <sheetFormatPr baseColWidth="8" defaultRowHeight="15"/>
  <cols>
    <col width="34" customWidth="1" style="16" min="1" max="1"/>
    <col width="105" customWidth="1" style="16" min="2" max="2"/>
  </cols>
  <sheetData>
    <row r="1" ht="28" customHeight="1" s="16">
      <c r="A1" s="60" t="inlineStr">
        <is>
          <t>INWO — Complete Rewritten Rules &amp; How to Play</t>
        </is>
      </c>
      <c r="B1" s="1" t="n"/>
    </row>
    <row r="2" ht="38" customHeight="1" s="16">
      <c r="A2" s="61" t="inlineStr">
        <is>
          <t>Original wording replaced with an implementation-focused explanation. Rules behavior is intended to match the original game together with the official corrections recorded elsewhere in this workbook.</t>
        </is>
      </c>
      <c r="B2" s="1" t="n"/>
    </row>
    <row r="4">
      <c r="A4" s="50" t="inlineStr">
        <is>
          <t>Section</t>
        </is>
      </c>
      <c r="B4" s="50" t="inlineStr">
        <is>
          <t>Rewritten rule / play procedure</t>
        </is>
      </c>
    </row>
    <row r="5">
      <c r="A5" s="54" t="inlineStr">
        <is>
          <t>1. Purpose of the game</t>
        </is>
      </c>
      <c r="B5" s="55" t="inlineStr">
        <is>
          <t>Each player represents a secret Illuminati organization trying to dominate the world through a network of controlled Groups, personalities, places and institutions. You build a Power Structure beneath your Illuminati, use Groups to make attacks and special actions, play Plots to alter events, and pursue either the normal victory requirement or a special Goal. The game is interactive: opponents may bargain, aid, interfere, bluff and betray when the rules allow.</t>
        </is>
      </c>
    </row>
    <row r="6">
      <c r="A6" s="54" t="inlineStr">
        <is>
          <t>2. The kinds of cards</t>
        </is>
      </c>
      <c r="B6" s="55" t="inlineStr">
        <is>
          <t>Illuminati cards are the roots of players' Power Structures and have four outgoing control arrows. Group cards are the organizations, people and places that can be controlled; each ordinary Group has one incoming control arrow and zero to three outgoing arrows. Plot cards are hidden tricks, disasters, bonuses, cancellations and other one-shot or continuing effects. Resource cards are assets controlled through the Resource rules rather than as ordinary Groups. Goal cards provide alternate victory conditions. NWO cards change the global rules while they remain in effect. Card-specific instructions override the general rules when the two conflict.</t>
        </is>
      </c>
    </row>
    <row r="7">
      <c r="A7" s="54" t="inlineStr">
        <is>
          <t>3. Information and card orientation</t>
        </is>
      </c>
      <c r="B7" s="55" t="inlineStr">
        <is>
          <t>A controlled Group must be physically linked into a legal Power Structure: its incoming arrow connects to an unused outgoing arrow of its master. The direction and number of arrows printed on each Group therefore matter. The digital implementation must enforce the exact edge geometry recorded in the Card Database. Hands and unrevealed information stay hidden when the rules say they are hidden; discards are face up. Secret Groups use hidden/exposed state rather than being treated as ordinary public information.</t>
        </is>
      </c>
    </row>
    <row r="8">
      <c r="A8" s="54" t="inlineStr">
        <is>
          <t>4. Setting up a game</t>
        </is>
      </c>
      <c r="B8" s="55" t="inlineStr">
        <is>
          <t>Choose the applicable rules profile, including the official two-player adjustments when playing with two. Each player receives an Illuminati and establishes it as the root of a new Power Structure. Prepare the appropriate card decks and hands under the selected rules profile, determine the first player, and initialize action tokens and other starting state as required. No player may claim victory during the first round, regardless of whether a numerical or Goal condition would otherwise be met.</t>
        </is>
      </c>
    </row>
    <row r="9">
      <c r="A9" s="54" t="inlineStr">
        <is>
          <t>5. The Power Structure</t>
        </is>
      </c>
      <c r="B9" s="55" t="inlineStr">
        <is>
          <t>Your Illuminati is the top-level controller. A Group directly attached to it is directly controlled; Groups attached below another Group are that Group's puppets. A Group's master is the card immediately above it in the control chain. Legal restructuring must preserve valid incoming-to-outgoing arrow connections. A controlled Group cannot simply be discarded or detached to make room; it must leave or move only through a rule or effect that permits that state change. Position in the structure matters because it affects defense and what can legally control what.</t>
        </is>
      </c>
    </row>
    <row r="10">
      <c r="A10" s="54" t="inlineStr">
        <is>
          <t>6. Action tokens</t>
        </is>
      </c>
      <c r="B10" s="55" t="inlineStr">
        <is>
          <t>Action tokens represent a card's ability to act. Eligible cards receive or refresh tokens at the appropriate turn point. Spending a token commits that card's action for the purpose specified: attacking, aiding, using a special ability, performing an automatic takeover, or another effect. A token cannot be spent twice. Some effects reload actions; when an alignment/attribute reload effect follows the standard rule, it requires an Illuminati action and normally reloads Groups totaling up to 5 printed Power, or one Group of any Power. A Group captured during the current turn cannot be reloaded by that standard reload effect.</t>
        </is>
      </c>
    </row>
    <row r="11">
      <c r="A11" s="54" t="inlineStr">
        <is>
          <t>7. Beginning and conducting a turn</t>
        </is>
      </c>
      <c r="B11" s="55" t="inlineStr">
        <is>
          <t>At the beginning of a normal turn, refresh the actions that are eligible to refresh and perform the required draw/turn-start procedures. The active player may then use legal actions in any order allowed by the rules: make attacks, use special abilities, play legal Plots, rearrange the Power Structure when permitted, negotiate with opponents, and perform takeovers. After the active player is finished, resolve required end-of-turn effects, cleanup and victory checks, then pass play to the next player. The engine should treat a turn as a sequence of explicit action and response windows rather than as simultaneous free play.</t>
        </is>
      </c>
    </row>
    <row r="12">
      <c r="A12" s="54" t="inlineStr">
        <is>
          <t>8. Automatic takeovers</t>
        </is>
      </c>
      <c r="B12" s="55" t="inlineStr">
        <is>
          <t>An automatic takeover brings an eligible uncontrolled card under your control without making the ordinary attack roll. Automatic takeover is optional; you are not forced to use it merely because it is available. An Illuminati action may be spent to make an automatic takeover of a Resource where the rules permit. Individual cards may grant additional or modified automatic takeovers. The new card must still enter a legal state and, for Groups, occupy a legal position in the Power Structure.</t>
        </is>
      </c>
    </row>
    <row r="13">
      <c r="A13" s="54" t="inlineStr">
        <is>
          <t>9. Declaring an attack</t>
        </is>
      </c>
      <c r="B13" s="55" t="inlineStr">
        <is>
          <t>Before an attack begins, identify the attacking Group, the target and the type of attack. Verify that the attacker can act, the target is legal, the required action is available and all special restrictions are satisfied. Commit the initiating action and then open the appropriate response window. Other players may aid, oppose, modify or cancel only when the applicable rules and card effects permit them to do so.</t>
        </is>
      </c>
    </row>
    <row r="14">
      <c r="A14" s="54" t="inlineStr">
        <is>
          <t>10. Attack to Control</t>
        </is>
      </c>
      <c r="B14" s="55" t="inlineStr">
        <is>
          <t>An Attack to Control attempts to take an uncontrolled or enemy Group and place it in the attacker's Power Structure. Begin with the attacker's applicable Power and compare it with the target's Resistance. The basic target calculation is attacking Power minus target Resistance. Before other modifiers, add 4 for each identical alignment relationship that applies and subtract 4 for each opposed alignment relationship that applies. Then apply legal Power, Resistance, structure, Plot, NWO and card-specific modifiers. If the final roll succeeds, transfer control and place the captured Group in a legal position under the controlling structure.</t>
        </is>
      </c>
    </row>
    <row r="15">
      <c r="A15" s="54" t="inlineStr">
        <is>
          <t>11. Attack to Destroy</t>
        </is>
      </c>
      <c r="B15" s="55" t="inlineStr">
        <is>
          <t>An Attack to Destroy tries to remove a Group rather than control it. Its basic comparison is attacking Power minus the defender's Power. Before other modifiers, add 4 for each opposed alignment relationship that applies and subtract 4 for each identical alignment relationship that applies. Servants of Cthulhu receive their specified +4 bonus to these attacks. Apply all other legal modifiers and responses, roll when required, and on success move the target to the proper destroyed/discard state and resolve anything triggered by its destruction.</t>
        </is>
      </c>
    </row>
    <row r="16">
      <c r="A16" s="54" t="inlineStr">
        <is>
          <t>12. Cancel and Paralyze (there is no Attack to Neutralize)</t>
        </is>
      </c>
      <c r="B16" s="55" t="inlineStr">
        <is>
          <t>INWO has only two ordinary attack types, Attack to Control and Attack to Destroy, plus Instant Attacks launched by cards. There is no separate neutralize result. The nearest effects are Cancel, which makes an action, Plot or ability count as if it never happened, and Paralyze, which leaves a Group in place but unable to spend tokens, use abilities or linked Resources, or count toward Goals. See Core Rules R005 and the cancellation rule R009.</t>
        </is>
      </c>
    </row>
    <row r="17">
      <c r="A17" s="54" t="inlineStr">
        <is>
          <t>13. Defense from the Power Structure</t>
        </is>
      </c>
      <c r="B17" s="55" t="inlineStr">
        <is>
          <t>A Group's location in the Power Structure can make it harder to attack. A target directly controlled by an Illuminati receives +10 defense. If the target's master is itself directly controlled by the Illuminati, the target receives +5 defense. A target also receives +4 for each alignment it shares with its master when that defense rule applies. These defensive modifiers are combined with the target's normal Resistance or other relevant defensive value and any legal temporary or card-specific modifiers.</t>
        </is>
      </c>
    </row>
    <row r="18">
      <c r="A18" s="54" t="inlineStr">
        <is>
          <t>14. Aiding, opposing and interference</t>
        </is>
      </c>
      <c r="B18" s="55" t="inlineStr">
        <is>
          <t>Players may participate in another player's action only through a legal form of aid, opposition or interference. A contributing card must have the required action and satisfy any targeting restrictions. Add each legal contribution to the appropriate side of the contest and record its source so later cancellation or modification can be resolved correctly. A privileged attack restricts outside interference according to the privilege rules; it does not erase card-specific responses that are explicitly allowed.</t>
        </is>
      </c>
    </row>
    <row r="19">
      <c r="A19" s="54" t="inlineStr">
        <is>
          <t>15. Dice and modified rolls</t>
        </is>
      </c>
      <c r="B19" s="55" t="inlineStr">
        <is>
          <t>When an action calls for a roll, roll the required dice only after legal modifiers and responses that precede the roll have been resolved. Effects may then alter a roll when their timing permits. If modifiers would push a die result outside the legal range, use the closest legal result rather than allowing an impossible number. Determine success from the final legal roll and the final attack or effect calculation.</t>
        </is>
      </c>
    </row>
    <row r="20">
      <c r="A20" s="54" t="inlineStr">
        <is>
          <t>16. Plot cards and response timing</t>
        </is>
      </c>
      <c r="B20" s="55" t="inlineStr">
        <is>
          <t>Plots are normally played from hidden information at the times their own effects permit. When a Plot or other interruptible action is declared, create a response window for eligible players. Responses, modifiers, interference and cancellations are resolved according to the game's timing rules, with the more specific card instruction taking precedence over a general timing rule. Costs that the rules say remain spent are not automatically refunded merely because an effect is cancelled. After responses finish, resolve the surviving action and then any effects triggered by its result.</t>
        </is>
      </c>
    </row>
    <row r="21">
      <c r="A21" s="54" t="inlineStr">
        <is>
          <t>17. Cancellation and nested effects</t>
        </is>
      </c>
      <c r="B21" s="55" t="inlineStr">
        <is>
          <t>Cancellation stops the affected action or effect to the extent stated by the cancelling rule. It does not retroactively erase unrelated actions that have already resolved. When effects respond to other effects, preserve their order and resolve them according to the official response/priority procedure. The implementation should therefore retain an ordered pending stack or equivalent record containing the source, target, costs, modifiers and response history for each unresolved action.</t>
        </is>
      </c>
    </row>
    <row r="22">
      <c r="A22" s="54" t="inlineStr">
        <is>
          <t>18. Disasters, Places and devastation</t>
        </is>
      </c>
      <c r="B22" s="55" t="inlineStr">
        <is>
          <t>Disasters and other effects may devastate Places without immediately destroying them. A Devastated Place has its Power halved, rounding down, when calculating an Attack to Destroy against it. Relief requires three times the Place's printed Power unless a card specifically changes that requirement. Devastated status must remain attached to the card until legally removed. Disaster cards and special Places can have immunities, bonuses or special destruction margins; use the card-specific database and official errata for those exceptions.</t>
        </is>
      </c>
    </row>
    <row r="23">
      <c r="A23" s="54" t="inlineStr">
        <is>
          <t>19. Assassination and special attacks</t>
        </is>
      </c>
      <c r="B23" s="55" t="inlineStr">
        <is>
          <t>Assassination, Disaster attacks and other named attack forms use their own legal targets and modifiers while following the same general declare–respond–calculate–roll–resolve framework. Do not silently convert them into ordinary control or destruction attacks. Attributes such as Personality, Place, Government and similar card classifications can determine whether an effect is legal. When a card supplies a special attack value or immunity, that card rule controls.</t>
        </is>
      </c>
    </row>
    <row r="24">
      <c r="A24" s="54" t="inlineStr">
        <is>
          <t>20. Resources and links</t>
        </is>
      </c>
      <c r="B24" s="55" t="inlineStr">
        <is>
          <t>Resources are not ordinary Groups and should not be placed or attacked as though they were. Acquire, control, transfer and link them under the Resource rules and the individual card's instructions. A linked Resource must retain the identity of the card to which it is linked. If that Group changes controller, is destroyed or otherwise changes state, resolve the Resource exactly as its own rule specifies. Unique or duplicate restrictions are enforced independently of ordinary Group control.</t>
        </is>
      </c>
    </row>
    <row r="25">
      <c r="A25" s="54" t="inlineStr">
        <is>
          <t>21. NWO cards</t>
        </is>
      </c>
      <c r="B25" s="55" t="inlineStr">
        <is>
          <t>NWO cards alter the global game state. Keep the active NWO for each applicable color/category and preserve the order in which NWO effects entered play. When a newly played NWO replaces an older one under the color/replacement rules, remove the superseded global effect and apply the new one deterministically. If multiple global modifiers affect the same calculation, apply all that legally coexist; card-specific exceptions still override the general NWO procedure.</t>
        </is>
      </c>
    </row>
    <row r="26">
      <c r="A26" s="54" t="inlineStr">
        <is>
          <t>22. Goals and victory</t>
        </is>
      </c>
      <c r="B26" s="55" t="inlineStr">
        <is>
          <t>A player wins by satisfying the normal victory requirement or a legal Goal condition, subject to the restrictions of the current rules profile. Goal cards have their own possession and exposure rules. No more than three Groups may count double toward victory. Victory cannot be claimed during the first round. Once a legal victory claim is actually being resolved, the Goal card producing that claim cannot simply be cancelled. Check victory at the permitted times after all relevant pending effects have resolved.</t>
        </is>
      </c>
    </row>
    <row r="27">
      <c r="A27" s="54" t="inlineStr">
        <is>
          <t>23. Elimination</t>
        </is>
      </c>
      <c r="B27" s="55" t="inlineStr">
        <is>
          <t>A player cannot be eliminated until after the third turn. When elimination becomes legal, resolve the defeated player's cards and other state using the elimination rules rather than simply deleting the player object. Effects triggered by loss of control, destruction, transfer or elimination must be allowed to resolve before the game continues.</t>
        </is>
      </c>
    </row>
    <row r="28">
      <c r="A28" s="54" t="inlineStr">
        <is>
          <t>24. Deals, negotiation and betrayal</t>
        </is>
      </c>
      <c r="B28" s="55" t="inlineStr">
        <is>
          <t>Negotiation is part of play. Players may make offers involving aid, noninterference, future behavior and other legal game actions. Enforce a promise only when the rules make that type of commitment binding; otherwise the game permits players to change their minds or betray an informal deal. A digital version should facilitate negotiation without converting every spoken agreement into an automatically enforced contract.</t>
        </is>
      </c>
    </row>
    <row r="29">
      <c r="A29" s="54" t="inlineStr">
        <is>
          <t>25. Permanent and temporary changes</t>
        </is>
      </c>
      <c r="B29" s="55" t="inlineStr">
        <is>
          <t>Keep permanent changes separate from temporary modifiers. A permanent alignment, attribute, Power or Resistance change remains until another rule removes or replaces it. A temporary modifier carries an explicit expiration event such as the end of an attack, turn or other stated window. When several modifiers apply, retain their individual sources so cancelling one effect removes only that effect rather than recalculating the game from an undocumented total.</t>
        </is>
      </c>
    </row>
    <row r="30">
      <c r="A30" s="54" t="inlineStr">
        <is>
          <t>26. Uniqueness and duplicate cards</t>
        </is>
      </c>
      <c r="B30" s="55" t="inlineStr">
        <is>
          <t>Duplicate and uniqueness restrictions are card- and type-sensitive. The database's duplicate/uniqueness field is authoritative for individual cards, including official limits such as effects that may exist only once for a player or Group. Before a card enters play, validate that doing so does not violate its applicable uniqueness restriction. A later official correction overrides an older Limited-edition wording when SJ Games explicitly corrected it.</t>
        </is>
      </c>
    </row>
    <row r="31">
      <c r="A31" s="54" t="inlineStr">
        <is>
          <t>27. Secret information</t>
        </is>
      </c>
      <c r="B31" s="55" t="inlineStr">
        <is>
          <t>Keep each player's hidden Plot hand and other hidden cards private. Secret Groups retain a separate exposed/unexposed state. An effect that reveals information reveals only what it is entitled to reveal and does not expose unrelated hidden state. Once information becomes public through a legal reveal, the game may display that revealed information as required, but it should not leak the contents of still-hidden hands or decks.</t>
        </is>
      </c>
    </row>
    <row r="32">
      <c r="A32" s="54" t="inlineStr">
        <is>
          <t>28. Restructuring and moving controlled Groups</t>
        </is>
      </c>
      <c r="B32" s="55" t="inlineStr">
        <is>
          <t>When restructuring is permitted, move Groups only if the resulting Power Structure remains legal: every controlled Group has one incoming arrow connected to an available outgoing arrow of its master, and no outgoing arrow controls more than one Group. Respect any timing restrictions on restructuring. Moving a Group carries its puppets only when the applicable movement rule says they move with it; otherwise validate every affected link individually.</t>
        </is>
      </c>
    </row>
    <row r="33">
      <c r="A33" s="54" t="inlineStr">
        <is>
          <t>29. End of an action and end of a turn</t>
        </is>
      </c>
      <c r="B33" s="55" t="inlineStr">
        <is>
          <t>After an action resolves, process success/failure triggers, transfers, destruction, devastation, exposure and other aftermath before closing the action. Remove modifiers that expire at the end of that action. At turn end, process end-of-turn effects, expire turn-duration modifiers, perform any required cleanup and make the permitted victory check. Do not begin the next player's turn while an effect from the current turn is still unresolved.</t>
        </is>
      </c>
    </row>
    <row r="34">
      <c r="A34" s="54" t="inlineStr">
        <is>
          <t>30. Standard resolution sequence</t>
        </is>
      </c>
      <c r="B34" s="55" t="inlineStr">
        <is>
          <t>For implementation, resolve a normal action in this order: (1) declare the actor, target and action; (2) validate legality; (3) pay or commit required costs/actions; (4) open the legal response window; (5) resolve responses and cancellations in their proper order; (6) calculate final strengths and modifiers; (7) roll if required and apply legal roll changes; (8) determine success or failure; (9) apply the resulting state change; (10) resolve triggered aftermath; (11) check victory when permitted; and (12) expire effects whose duration has ended. A card's explicit timing instruction can alter this sequence.</t>
        </is>
      </c>
    </row>
    <row r="35">
      <c r="A35" s="54" t="inlineStr">
        <is>
          <t>31. Official corrections are part of these rules</t>
        </is>
      </c>
      <c r="B35" s="55" t="inlineStr">
        <is>
          <t>The Official Errata sheet is not optional commentary. Treat every listed correction as part of the ruleset used by the digital game. Examples include corrected Disaster values and margins, limits on particular Resources or effects, clarified NWO interactions, corrected defense bonuses, and once-per-game restrictions. Where the original Limited card and later official correction disagree, use the corrected rule recorded in this workbook.</t>
        </is>
      </c>
    </row>
    <row r="36">
      <c r="A36" s="54" t="inlineStr">
        <is>
          <t>32. How a new player actually plays</t>
        </is>
      </c>
      <c r="B36" s="55" t="inlineStr">
        <is>
          <t>On your turn, first look at which cards have actions available and what uncontrolled or enemy Groups you can realistically affect. Decide whether to expand safely, attack another player, use a special ability, acquire a Resource, or save actions for defense and interference. When attacking, compare your attacker's Power with the target's Resistance or Power, account for alignments and structural defense, then expect opponents to interfere. Keep enough actions and Plots available to protect important Groups. Build your Power Structure so valuable Groups benefit from defense while useful outgoing arrows remain available for expansion. Watch every player's progress toward both ordinary victory and possible Goals; an opponent does not need to announce every hidden plan before it becomes dangerous.</t>
        </is>
      </c>
    </row>
    <row r="37">
      <c r="A37" s="54" t="inlineStr">
        <is>
          <t>33. Practical multiplayer flow</t>
        </is>
      </c>
      <c r="B37" s="55" t="inlineStr">
        <is>
          <t>The active player announces an action clearly enough that everyone knows the actor, target and intended effect. Pause for legal responses. Record all aid, opposition and modifiers. Resolve the contest and immediately update the Power Structure or card state. Continue until the active player ends the turn. Because negotiation is legal, table talk can occur throughout play, but game state changes happen only through legal actions. If players disagree about a rule, first use the specific card, then the official correction if one exists, then the general rule; the more specific applicable instruction wins.</t>
        </is>
      </c>
    </row>
    <row r="38">
      <c r="A38" s="54" t="inlineStr">
        <is>
          <t>34. Implementation equivalence rule</t>
        </is>
      </c>
      <c r="B38" s="55" t="inlineStr">
        <is>
          <t>The purpose of this rewritten guide is rules equivalence, not textual reproduction. A digital implementation should produce the same legal choices, calculations, timing opportunities, information restrictions, card-state transitions and victory outcomes as the original game plus its official corrections. UI details may differ from the physical game, but they must not remove a legal decision, add an illegal decision, reveal hidden information, ignore control-arrow geometry, change a modifier, or alter when opponents may respond.</t>
        </is>
      </c>
    </row>
    <row r="40">
      <c r="A40" s="62" t="inlineStr">
        <is>
          <t>Reference sources used by this workbook</t>
        </is>
      </c>
      <c r="B40" s="1" t="n"/>
    </row>
    <row r="41">
      <c r="A41" s="58" t="inlineStr">
        <is>
          <t>Official INWO rules</t>
        </is>
      </c>
      <c r="B41" s="20" t="inlineStr">
        <is>
          <t>https://www.sjgames.com/inwo/rules/inwo-rules-12.pdf</t>
        </is>
      </c>
    </row>
    <row r="42">
      <c r="A42" s="58" t="inlineStr">
        <is>
          <t>Official rules update / errata</t>
        </is>
      </c>
      <c r="B42" s="20" t="inlineStr">
        <is>
          <t>https://www.sjgames.com/sjgames/inwo/rules/b/Rules_Update.html</t>
        </is>
      </c>
    </row>
    <row r="43">
      <c r="A43" s="58" t="inlineStr">
        <is>
          <t>Workbook implementation cross-reference</t>
        </is>
      </c>
      <c r="B43" s="20" t="inlineStr">
        <is>
          <t>See Core Rules, Timing &amp; Resolution, Official Errata, Game State Model, and Card Database.</t>
        </is>
      </c>
    </row>
  </sheetData>
  <mergeCells count="3">
    <mergeCell ref="A2:B2"/>
    <mergeCell ref="A1:B1"/>
    <mergeCell ref="A40:B4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2026-09-24T10:52:43Z</dcterms:created>
  <dcterms:modified xsi:type="dcterms:W3CDTF">2026-09-25T08:54:07Z</dcterms:modified>
</cp:coreProperties>
</file>